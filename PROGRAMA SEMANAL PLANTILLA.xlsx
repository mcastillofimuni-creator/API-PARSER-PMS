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always" defaultThemeVersion="166925"/>
  <mc:AlternateContent xmlns:mc="http://schemas.openxmlformats.org/markup-compatibility/2006">
    <mc:Choice Requires="x15">
      <x15ac:absPath xmlns:x15ac="http://schemas.microsoft.com/office/spreadsheetml/2010/11/ac" url="C:\Users\MANUEL\Downloads\"/>
    </mc:Choice>
  </mc:AlternateContent>
  <xr:revisionPtr revIDLastSave="0" documentId="13_ncr:1_{9F9AD5BD-1DF5-415B-A178-90964FDB70E3}" xr6:coauthVersionLast="47" xr6:coauthVersionMax="47" xr10:uidLastSave="{00000000-0000-0000-0000-000000000000}"/>
  <bookViews>
    <workbookView xWindow="-108" yWindow="-108" windowWidth="23256" windowHeight="12456" xr2:uid="{B4D66E90-87A8-437D-B7C5-59BB7B64F50F}"/>
  </bookViews>
  <sheets>
    <sheet name="SANTA ROSA" sheetId="10" r:id="rId1"/>
  </sheets>
  <externalReferences>
    <externalReference r:id="rId2"/>
    <externalReference r:id="rId3"/>
  </externalReferences>
  <definedNames>
    <definedName name="__________A2" hidden="1">{#N/A,#N/A,FALSE,"Costos Productos 6A";#N/A,#N/A,FALSE,"Costo Unitario Total H-94-12"}</definedName>
    <definedName name="_________A2" hidden="1">{#N/A,#N/A,FALSE,"Costos Productos 6A";#N/A,#N/A,FALSE,"Costo Unitario Total H-94-12"}</definedName>
    <definedName name="________A2" hidden="1">{#N/A,#N/A,FALSE,"Costos Productos 6A";#N/A,#N/A,FALSE,"Costo Unitario Total H-94-12"}</definedName>
    <definedName name="_______A2" hidden="1">{#N/A,#N/A,FALSE,"Costos Productos 6A";#N/A,#N/A,FALSE,"Costo Unitario Total H-94-12"}</definedName>
    <definedName name="______A2" hidden="1">{#N/A,#N/A,FALSE,"Costos Productos 6A";#N/A,#N/A,FALSE,"Costo Unitario Total H-94-12"}</definedName>
    <definedName name="_____A2" hidden="1">{#N/A,#N/A,FALSE,"Costos Productos 6A";#N/A,#N/A,FALSE,"Costo Unitario Total H-94-12"}</definedName>
    <definedName name="_____AAS1" hidden="1">{#N/A,#N/A,TRUE,"INGENIERIA";#N/A,#N/A,TRUE,"COMPRAS";#N/A,#N/A,TRUE,"DIRECCION";#N/A,#N/A,TRUE,"RESUMEN"}</definedName>
    <definedName name="_____ABC1" hidden="1">{#N/A,#N/A,TRUE,"1842CWN0"}</definedName>
    <definedName name="_____abc2" hidden="1">{#N/A,#N/A,TRUE,"1842CWN0"}</definedName>
    <definedName name="____A2" hidden="1">{#N/A,#N/A,FALSE,"Costos Productos 6A";#N/A,#N/A,FALSE,"Costo Unitario Total H-94-12"}</definedName>
    <definedName name="___A2" hidden="1">{#N/A,#N/A,FALSE,"Costos Productos 6A";#N/A,#N/A,FALSE,"Costo Unitario Total H-94-12"}</definedName>
    <definedName name="___AAS1" hidden="1">{#N/A,#N/A,TRUE,"INGENIERIA";#N/A,#N/A,TRUE,"COMPRAS";#N/A,#N/A,TRUE,"DIRECCION";#N/A,#N/A,TRUE,"RESUMEN"}</definedName>
    <definedName name="___ABC1" hidden="1">{#N/A,#N/A,TRUE,"1842CWN0"}</definedName>
    <definedName name="___abc2" hidden="1">{#N/A,#N/A,TRUE,"1842CWN0"}</definedName>
    <definedName name="__1__123Graph_BGRAFICO_1" hidden="1">#REF!</definedName>
    <definedName name="__12_4_0__123Grap" hidden="1">#REF!</definedName>
    <definedName name="__123Graph_A" hidden="1">#REF!</definedName>
    <definedName name="__123Graph_AAF." hidden="1">#REF!</definedName>
    <definedName name="__123Graph_AANN" hidden="1">#REF!</definedName>
    <definedName name="__123Graph_ACF" hidden="1">#N/A</definedName>
    <definedName name="__123Graph_ACFCUM" hidden="1">#N/A</definedName>
    <definedName name="__123Graph_ACFINC" hidden="1">#N/A</definedName>
    <definedName name="__123Graph_ACHART1" hidden="1">#REF!</definedName>
    <definedName name="__123Graph_ACHART2" hidden="1">#REF!</definedName>
    <definedName name="__123Graph_ACURRENT" hidden="1">#REF!</definedName>
    <definedName name="__123Graph_AIRR" hidden="1">#N/A</definedName>
    <definedName name="__123Graph_APART2" hidden="1">#N/A</definedName>
    <definedName name="__123Graph_APARTI" hidden="1">#N/A</definedName>
    <definedName name="__123Graph_ASTšCK" hidden="1">#REF!</definedName>
    <definedName name="__123Graph_B" hidden="1">#REF!</definedName>
    <definedName name="__123Graph_BAF." hidden="1">#REF!</definedName>
    <definedName name="__123Graph_BANN" hidden="1">#REF!</definedName>
    <definedName name="__123Graph_BCF" hidden="1">#N/A</definedName>
    <definedName name="__123Graph_BCFCUM" hidden="1">#N/A</definedName>
    <definedName name="__123Graph_BCHART1" hidden="1">#REF!</definedName>
    <definedName name="__123Graph_BCHART2" hidden="1">#REF!</definedName>
    <definedName name="__123Graph_BCURRENT" hidden="1">#REF!</definedName>
    <definedName name="__123Graph_BIRR" hidden="1">#N/A</definedName>
    <definedName name="__123Graph_BPART2" hidden="1">#N/A</definedName>
    <definedName name="__123Graph_BPARTI" hidden="1">#N/A</definedName>
    <definedName name="__123Graph_BSTšCK" hidden="1">#REF!</definedName>
    <definedName name="__123Graph_C" hidden="1">#REF!</definedName>
    <definedName name="__123Graph_CCHART1" hidden="1">#REF!</definedName>
    <definedName name="__123Graph_CCHART2" hidden="1">#REF!</definedName>
    <definedName name="__123Graph_CCURRENT" hidden="1">#REF!</definedName>
    <definedName name="__123Graph_COILPRICE" hidden="1">#REF!</definedName>
    <definedName name="__123Graph_D" hidden="1">#REF!</definedName>
    <definedName name="__123Graph_DCHART1" hidden="1">#REF!</definedName>
    <definedName name="__123Graph_DCHART2" hidden="1">#REF!</definedName>
    <definedName name="__123Graph_DCURRENT" hidden="1">#REF!</definedName>
    <definedName name="__123Graph_E" hidden="1">#REF!</definedName>
    <definedName name="__123Graph_ECHART1" hidden="1">#REF!</definedName>
    <definedName name="__123Graph_ECHART2" hidden="1">#REF!</definedName>
    <definedName name="__123Graph_ECURRENT" hidden="1">#REF!</definedName>
    <definedName name="__123Graph_F" hidden="1">#REF!</definedName>
    <definedName name="__123Graph_FCHART1" hidden="1">#REF!</definedName>
    <definedName name="__123Graph_FCHART2" hidden="1">#REF!</definedName>
    <definedName name="__123Graph_FCURRENT" hidden="1">#REF!</definedName>
    <definedName name="__123Graph_LBL_B" hidden="1">#REF!</definedName>
    <definedName name="__123Graph_X" hidden="1">#REF!</definedName>
    <definedName name="__123Graph_XAF." hidden="1">#REF!</definedName>
    <definedName name="__123Graph_XANN" hidden="1">#REF!</definedName>
    <definedName name="__123Graph_XCF" hidden="1">#N/A</definedName>
    <definedName name="__123Graph_XCFCUM" hidden="1">#N/A</definedName>
    <definedName name="__123Graph_XCFINC" hidden="1">#N/A</definedName>
    <definedName name="__123Graph_XIRR" hidden="1">#N/A</definedName>
    <definedName name="__123Graph_XPART2" hidden="1">#N/A</definedName>
    <definedName name="__123Graph_XPARTI" hidden="1">#N/A</definedName>
    <definedName name="__2__123Graph_CGRAFICO_1" hidden="1">#REF!</definedName>
    <definedName name="__3__123Graph_CKW_H" hidden="1">#REF!</definedName>
    <definedName name="__4__123Graph_DGRAFICO_1" hidden="1">#REF!</definedName>
    <definedName name="__5__123Graph_EGRAFICO_1" hidden="1">#REF!</definedName>
    <definedName name="__6__123Graph_LBL_BKW_H" hidden="1">#REF!</definedName>
    <definedName name="__A2" hidden="1">{#N/A,#N/A,FALSE,"Costos Productos 6A";#N/A,#N/A,FALSE,"Costo Unitario Total H-94-12"}</definedName>
    <definedName name="__AAS1" hidden="1">{#N/A,#N/A,TRUE,"INGENIERIA";#N/A,#N/A,TRUE,"COMPRAS";#N/A,#N/A,TRUE,"DIRECCION";#N/A,#N/A,TRUE,"RESUMEN"}</definedName>
    <definedName name="__ABC1" hidden="1">{#N/A,#N/A,TRUE,"1842CWN0"}</definedName>
    <definedName name="__abc2" hidden="1">{#N/A,#N/A,TRUE,"1842CWN0"}</definedName>
    <definedName name="__MAT1">#REF!</definedName>
    <definedName name="__nr2" hidden="1">#REF!</definedName>
    <definedName name="__nr3" hidden="1">#REF!</definedName>
    <definedName name="__nr4" hidden="1">#REF!</definedName>
    <definedName name="_1___123Graph_AGráfico_4A" hidden="1">#REF!</definedName>
    <definedName name="_1__123Graph_BGRAFICO_1" hidden="1">#REF!</definedName>
    <definedName name="_10__123Graph_XGráfico_4A" hidden="1">#REF!</definedName>
    <definedName name="_108__123Graph_CKW_H" hidden="1">#REF!</definedName>
    <definedName name="_11_4_0__123Grap" hidden="1">#REF!</definedName>
    <definedName name="_12__123Graph_DGRAFICO_1" hidden="1">#REF!</definedName>
    <definedName name="_12_08_07">#REF!</definedName>
    <definedName name="_12_4_0__123Grap" hidden="1">#REF!</definedName>
    <definedName name="_135__123Graph_DGRAFICO_1" hidden="1">#REF!</definedName>
    <definedName name="_13B____123Graph_XGráfico" hidden="1">#REF!</definedName>
    <definedName name="_15__123Graph_EGRAFICO_1" hidden="1">#REF!</definedName>
    <definedName name="_16_B_0__123Graph_XGráfico" hidden="1">#REF!</definedName>
    <definedName name="_162__123Graph_EGRAFICO_1" hidden="1">#REF!</definedName>
    <definedName name="_16B_0__123Graph_XGráfico" hidden="1">#REF!</definedName>
    <definedName name="_17_B_0__123Graph_XGráfico" hidden="1">#REF!</definedName>
    <definedName name="_18__123Graph_LBL_BKW_H" hidden="1">#REF!</definedName>
    <definedName name="_189__123Graph_LBL_BKW_H" hidden="1">#REF!</definedName>
    <definedName name="_19_4_0__123Grap" hidden="1">#REF!</definedName>
    <definedName name="_2___123Graph_BGráfico_4A" hidden="1">#REF!</definedName>
    <definedName name="_2__123Graph_BGRAFICO_1" hidden="1">#REF!</definedName>
    <definedName name="_2__123Graph_CGRAFICO_1" hidden="1">#REF!</definedName>
    <definedName name="_20_4____123Grap" hidden="1">#REF!</definedName>
    <definedName name="_21_4_0__123Grap" hidden="1">#REF!</definedName>
    <definedName name="_24B_0__123Graph_XGráfico" hidden="1">#REF!</definedName>
    <definedName name="_3___123Graph_XGráfico_4A" hidden="1">#REF!</definedName>
    <definedName name="_3__123Graph_BGRAFICO_1" hidden="1">#REF!</definedName>
    <definedName name="_3__123Graph_CGRAFICO_1" hidden="1">#REF!</definedName>
    <definedName name="_3__123Graph_CKW_H" hidden="1">#REF!</definedName>
    <definedName name="_30B____123Graph_XGráfico" hidden="1">#REF!</definedName>
    <definedName name="_31B_0__123Graph_XGráfico" hidden="1">#REF!</definedName>
    <definedName name="_4___123Graph_AGráfico_4A" hidden="1">#REF!</definedName>
    <definedName name="_4__123Graph_AGráfico_4A" hidden="1">#REF!</definedName>
    <definedName name="_4__123Graph_CKW_H" hidden="1">#REF!</definedName>
    <definedName name="_4__123Graph_DGRAFICO_1" hidden="1">#REF!</definedName>
    <definedName name="_5___123Graph_AGráfico_4A" hidden="1">#REF!</definedName>
    <definedName name="_5___123Graph_BGráfico_4A" hidden="1">#REF!</definedName>
    <definedName name="_5__123Graph_BGráfico_4A" hidden="1">#REF!</definedName>
    <definedName name="_5__123Graph_DGRAFICO_1" hidden="1">#REF!</definedName>
    <definedName name="_5__123Graph_EGRAFICO_1" hidden="1">#REF!</definedName>
    <definedName name="_54__123Graph_BGRAFICO_1" hidden="1">#REF!</definedName>
    <definedName name="_6___123Graph_BGráfico_4A" hidden="1">#REF!</definedName>
    <definedName name="_6___123Graph_XGráfico_4A" hidden="1">#REF!</definedName>
    <definedName name="_6__123Graph_CGRAFICO_1" hidden="1">#REF!</definedName>
    <definedName name="_6__123Graph_EGRAFICO_1" hidden="1">#REF!</definedName>
    <definedName name="_6__123Graph_LBL_BKW_H" hidden="1">#REF!</definedName>
    <definedName name="_6__123Graph_XGráfico_4A" hidden="1">#REF!</definedName>
    <definedName name="_7___123Graph_XGráfico_4A" hidden="1">#REF!</definedName>
    <definedName name="_7__123Graph_AGráfico_4A" hidden="1">#REF!</definedName>
    <definedName name="_7__123Graph_LBL_BKW_H" hidden="1">#REF!</definedName>
    <definedName name="_7_4_0__123Grap" hidden="1">#REF!</definedName>
    <definedName name="_8__123Graph_AGráfico_4A" hidden="1">#REF!</definedName>
    <definedName name="_8__123Graph_BGráfico_4A" hidden="1">#REF!</definedName>
    <definedName name="_8_B_0__123Graph_XGráfico" hidden="1">#REF!</definedName>
    <definedName name="_81__123Graph_CGRAFICO_1" hidden="1">#REF!</definedName>
    <definedName name="_9__123Graph_BGráfico_4A" hidden="1">#REF!</definedName>
    <definedName name="_9__123Graph_CKW_H" hidden="1">#REF!</definedName>
    <definedName name="_9__123Graph_XGráfico_4A" hidden="1">#REF!</definedName>
    <definedName name="_9_4____123Grap" hidden="1">#REF!</definedName>
    <definedName name="_A2" hidden="1">{#N/A,#N/A,FALSE,"Costos Productos 6A";#N/A,#N/A,FALSE,"Costo Unitario Total H-94-12"}</definedName>
    <definedName name="_as1" hidden="1">{"costo totale",#N/A,FALSE,"Risorse e R&amp;D 5";"costi unitari",#N/A,FALSE,"Risorse e R&amp;D 5";"n° addetti",#N/A,FALSE,"Risorse e R&amp;D 5";#N/A,#N/A,FALSE,"Risorse e R&amp;D 5"}</definedName>
    <definedName name="_b2" hidden="1">{"page 1",#N/A,FALSE,"A";"page 2",#N/A,FALSE,"A";"page 3",#N/A,FALSE,"A";"page 4",#N/A,FALSE,"A";"page 5",#N/A,FALSE,"A";"page 6",#N/A,FALSE,"A";"page 7",#N/A,FALSE,"A";"page 8",#N/A,FALSE,"A";"page 9",#N/A,FALSE,"A";"page 10",#N/A,FALSE,"A";"page 11",#N/A,FALSE,"A";"page 12",#N/A,FALSE,"A";"page 13",#N/A,FALSE,"A";"page 14",#N/A,FALSE,"A"}</definedName>
    <definedName name="_Dist_Bin" hidden="1">#REF!</definedName>
    <definedName name="_f" hidden="1">{#N/A,#N/A,FALSE,"PERSONAL"}</definedName>
    <definedName name="_Fill" hidden="1">#REF!</definedName>
    <definedName name="_HJK1" hidden="1">{#N/A,#N/A,FALSE,"PERSONAL"}</definedName>
    <definedName name="_Key1" hidden="1">#REF!</definedName>
    <definedName name="_Key2" hidden="1">#REF!</definedName>
    <definedName name="_MAT1">#REF!</definedName>
    <definedName name="_nr2" hidden="1">#REF!</definedName>
    <definedName name="_nr3" hidden="1">#REF!</definedName>
    <definedName name="_nr4" hidden="1">#REF!</definedName>
    <definedName name="_Order1" hidden="1">255</definedName>
    <definedName name="_Order2" hidden="1">1</definedName>
    <definedName name="_Parse_Out" hidden="1">#N/A</definedName>
    <definedName name="_PUE2" hidden="1">{#N/A,#N/A,FALSE,"PERSONAL"}</definedName>
    <definedName name="_pue3" hidden="1">{#N/A,#N/A,FALSE,"PERSONAL"}</definedName>
    <definedName name="_PUE4" hidden="1">{#N/A,#N/A,FALSE,"PERSONAL"}</definedName>
    <definedName name="_PUE5" hidden="1">{#N/A,#N/A,FALSE,"PERSONAL"}</definedName>
    <definedName name="_PUE6" hidden="1">{#N/A,#N/A,FALSE,"PERSONAL"}</definedName>
    <definedName name="_PUE7" hidden="1">{#N/A,#N/A,FALSE,"PERSONAL"}</definedName>
    <definedName name="_Regression_Int" hidden="1">1</definedName>
    <definedName name="_Regression_Out" hidden="1">#REF!</definedName>
    <definedName name="_Regression_X" hidden="1">#REF!</definedName>
    <definedName name="_REGRESSION_XNJA" hidden="1">#REF!</definedName>
    <definedName name="_Regression_Y" hidden="1">#REF!</definedName>
    <definedName name="_Sort" hidden="1">#REF!</definedName>
    <definedName name="_SortNJA" hidden="1">#REF!</definedName>
    <definedName name="_Table1_In1" hidden="1">#REF!</definedName>
    <definedName name="_Table1_Out" hidden="1">#REF!</definedName>
    <definedName name="_Table2_In1" hidden="1">#REF!</definedName>
    <definedName name="_Table2_Out" hidden="1">#REF!</definedName>
    <definedName name="a" hidden="1">#REF!</definedName>
    <definedName name="a6d" hidden="1">{#N/A,#N/A,FALSE,"DITCAR";#N/A,#N/A,FALSE,"a1";#N/A,#N/A,FALSE,"a2";#N/A,#N/A,FALSE,"a3";#N/A,#N/A,FALSE,"a4";#N/A,#N/A,FALSE,"a4a";#N/A,#N/A,FALSE,"a4B";#N/A,#N/A,FALSE,"a4C";#N/A,#N/A,FALSE,"A5a ";#N/A,#N/A,FALSE,"A5b";#N/A,#N/A,FALSE,"A6A";#N/A,#N/A,FALSE,"A6B";#N/A,#N/A,FALSE,"A6C";#N/A,#N/A,FALSE,"04PG12NB"}</definedName>
    <definedName name="aa" hidden="1">#REF!</definedName>
    <definedName name="aaa" hidden="1">{#N/A,#N/A,FALSE,"Costos Productos 6A";#N/A,#N/A,FALSE,"Costo Unitario Total H-94-12"}</definedName>
    <definedName name="AAAA" hidden="1">{#N/A,#N/A,FALSE,"Fact Sheet Table 1";#N/A,#N/A,FALSE,"Budget &amp; Plan Goals Table 2";#N/A,#N/A,FALSE,"2001 OL vs 2002 Budget Table 3";#N/A,#N/A,FALSE,"2001 OL vs 2002 Budget Table 3A";#N/A,#N/A,FALSE,"Risks &amp; Ops Table 4";#N/A,#N/A,FALSE,"Value Build-Up By Layer Table 5";#N/A,#N/A,FALSE,"Production &amp; Reserve Table 6A";#N/A,#N/A,FALSE,"Production &amp; Reserve Table 6B";#N/A,#N/A,FALSE,"Development Projects Table 7";#N/A,#N/A,FALSE,"Development Projects Table 7A";#N/A,#N/A,FALSE,"Exploration Inventory Table 8";#N/A,#N/A,FALSE,"2002 Capital Summary Table 9";#N/A,#N/A,FALSE,"Cost center, SG&amp;A Table 10";#N/A,#N/A,FALSE,"Outstanding AFEs Table 11 ";#N/A,#N/A,FALSE,"Table 12 PAFEA";#N/A,#N/A,FALSE,"Table 12 PAFEB";#N/A,#N/A,FALSE,"Reference Formats";#N/A,#N/A,FALSE,"Program AFE PAGE1";#N/A,#N/A,FALSE,"Program AFE PAGE 2";#N/A,#N/A,FALSE,"Program AFE PAGE3";#N/A,#N/A,FALSE,"PostAuditA";#N/A,#N/A,FALSE,"PostAuditB"}</definedName>
    <definedName name="aaaaaaaa" hidden="1">{#N/A,#N/A,FALSE,"PERSONAL"}</definedName>
    <definedName name="AAS" hidden="1">{#N/A,#N/A,TRUE,"INGENIERIA";#N/A,#N/A,TRUE,"COMPRAS";#N/A,#N/A,TRUE,"DIRECCION";#N/A,#N/A,TRUE,"RESUMEN"}</definedName>
    <definedName name="ab" hidden="1">{#N/A,#N/A,FALSE,"PERSONAL"}</definedName>
    <definedName name="ABC" hidden="1">{#N/A,#N/A,FALSE,"Cover";#N/A,#N/A,FALSE,"Contents";#N/A,#N/A,FALSE,"8";#N/A,#N/A,FALSE,"9";#N/A,#N/A,FALSE,"10";#N/A,#N/A,FALSE,"11";#N/A,#N/A,FALSE,"12";#N/A,#N/A,FALSE,"13";#N/A,#N/A,FALSE,"14";#N/A,#N/A,FALSE,"15";#N/A,#N/A,FALSE,"16";#N/A,#N/A,FALSE,"17";#N/A,#N/A,FALSE,"18";#N/A,#N/A,FALSE,"19";#N/A,#N/A,FALSE,"20";#N/A,#N/A,FALSE,"21";#N/A,#N/A,FALSE,"27";#N/A,#N/A,FALSE,"28";#N/A,#N/A,FALSE,"29";#N/A,#N/A,FALSE,"StatSupp";#N/A,#N/A,FALSE,"30";#N/A,#N/A,FALSE,"31";#N/A,#N/A,FALSE,"32";#N/A,#N/A,FALSE,"33";#N/A,#N/A,FALSE,"Checklist";#N/A,#N/A,FALSE,"Error track"}</definedName>
    <definedName name="ABCD" hidden="1">#REF!</definedName>
    <definedName name="ABCDE" hidden="1">#REF!</definedName>
    <definedName name="AccessDatabase" hidden="1">"C:\EXCEL\FILESXLS\TELEX\LIBRO99.mdb"</definedName>
    <definedName name="Ajusteinf" hidden="1">{#N/A,#N/A,FALSE,"Costos Productos 6A";#N/A,#N/A,FALSE,"Costo Unitario Total H-94-12"}</definedName>
    <definedName name="AJUSTPTO" hidden="1">{#N/A,#N/A,FALSE,"Costos Productos 6A";#N/A,#N/A,FALSE,"Costo Unitario Total H-94-12"}</definedName>
    <definedName name="AlanV" hidden="1">{#N/A,#N/A,FALSE,"Costos Productos 6A";#N/A,#N/A,FALSE,"Costo Unitario Total H-94-12"}</definedName>
    <definedName name="AlanV2" hidden="1">{#N/A,#N/A,FALSE,"Costos Productos 6A";#N/A,#N/A,FALSE,"Costo Unitario Total H-94-12"}</definedName>
    <definedName name="AlanV3" hidden="1">#REF!</definedName>
    <definedName name="asdg" hidden="1">#REF!</definedName>
    <definedName name="award" hidden="1">#REF!</definedName>
    <definedName name="AWD" hidden="1">{#N/A,#N/A,FALSE,"PERSONAL"}</definedName>
    <definedName name="b" hidden="1">#REF!</definedName>
    <definedName name="BET">#REF!</definedName>
    <definedName name="bfdgh" hidden="1">{#N/A,#N/A,FALSE,"PERSONAL"}</definedName>
    <definedName name="BORRADOR"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BORRAR_ANT">#REF!,#REF!</definedName>
    <definedName name="CA" hidden="1">#REF!</definedName>
    <definedName name="CABCELAR" hidden="1">{#N/A,#N/A,FALSE,"Costos Productos 6A";#N/A,#N/A,FALSE,"Costo Unitario Total H-94-12"}</definedName>
    <definedName name="carlos" hidden="1">#REF!</definedName>
    <definedName name="CArtagena">#REF!</definedName>
    <definedName name="cc" localSheetId="0" hidden="1">{#N/A,#N/A,FALSE,"Descargas";#N/A,#N/A,FALSE,"Mantto";#N/A,#N/A,FALSE,"Sabado";#N/A,#N/A,FALSE,"Domingo";#N/A,#N/A,FALSE,"Lunes";#N/A,#N/A,FALSE,"Martes";#N/A,#N/A,FALSE,"Miercoles";#N/A,#N/A,FALSE,"Jueves";#N/A,#N/A,FALSE,"Viernes"}</definedName>
    <definedName name="cc" hidden="1">{#N/A,#N/A,FALSE,"Descargas";#N/A,#N/A,FALSE,"Mantto";#N/A,#N/A,FALSE,"Sabado";#N/A,#N/A,FALSE,"Domingo";#N/A,#N/A,FALSE,"Lunes";#N/A,#N/A,FALSE,"Martes";#N/A,#N/A,FALSE,"Miercoles";#N/A,#N/A,FALSE,"Jueves";#N/A,#N/A,FALSE,"Viernes"}</definedName>
    <definedName name="CERE">#REF!</definedName>
    <definedName name="CESAR" hidden="1">{#N/A,#N/A,FALSE,"Costos Productos 6A";#N/A,#N/A,FALSE,"Costo Unitario Total H-94-12"}</definedName>
    <definedName name="CHACA" hidden="1">#REF!</definedName>
    <definedName name="codigoregistro">#REF!</definedName>
    <definedName name="CONSEGUIR" hidden="1">#REF!</definedName>
    <definedName name="consum" hidden="1">{"'Sheet2'!$A$3:$B$17"}</definedName>
    <definedName name="Consumibles" hidden="1">#REF!</definedName>
    <definedName name="consumibles2"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CONTABLE" hidden="1">{#N/A,#N/A,FALSE,"CIBHA05A";#N/A,#N/A,FALSE,"CIBHA05B"}</definedName>
    <definedName name="CONTABLES" hidden="1">{#N/A,#N/A,FALSE,"Costos Productos 6A";#N/A,#N/A,FALSE,"Costo Unitario Total H-94-12"}</definedName>
    <definedName name="CONTRATOS_MWh">#REF!</definedName>
    <definedName name="CONTRATOS_PESOS">#REF!</definedName>
    <definedName name="cost04" hidden="1">{#N/A,#N/A,FALSE,"Costos Productos 6A";#N/A,#N/A,FALSE,"Costo Unitario Total H-94-12"}</definedName>
    <definedName name="COSTCONTAB" hidden="1">{#N/A,#N/A,FALSE,"Costos Productos 6A";#N/A,#N/A,FALSE,"Costo Unitario Total H-94-12"}</definedName>
    <definedName name="costivos" hidden="1">{#N/A,#N/A,FALSE,"Costos Productos 6A";#N/A,#N/A,FALSE,"Costo Unitario Total H-94-12"}</definedName>
    <definedName name="costoperativos" hidden="1">{#N/A,#N/A,FALSE,"Costos Productos 6A";#N/A,#N/A,FALSE,"Costo Unitario Total H-94-12"}</definedName>
    <definedName name="costos" hidden="1">{#N/A,#N/A,FALSE,"VOL695";#N/A,#N/A,FALSE,"anexo1";#N/A,#N/A,FALSE,"anexo2";#N/A,#N/A,FALSE,"anexo3";#N/A,#N/A,FALSE,"anexo4";#N/A,#N/A,FALSE,"anexo5a";#N/A,#N/A,FALSE,"anexo5b";#N/A,#N/A,FALSE,"anexo6a";#N/A,#N/A,FALSE,"anexo6a";#N/A,#N/A,FALSE,"anexo6c";#N/A,#N/A,FALSE,"anexo7a";#N/A,#N/A,FALSE,"anexo7b";#N/A,#N/A,FALSE,"anexo7c"}</definedName>
    <definedName name="costos04" hidden="1">{#N/A,#N/A,FALSE,"Costos Productos 6A";#N/A,#N/A,FALSE,"Costo Unitario Total H-94-12"}</definedName>
    <definedName name="CRITICIDAD">#REF!</definedName>
    <definedName name="CRUDOS" hidden="1">{#N/A,#N/A,FALSE,"CIBHA05A";#N/A,#N/A,FALSE,"CIBHA05B"}</definedName>
    <definedName name="cusum1" hidden="1">{"'Sheet2'!$A$3:$B$17"}</definedName>
    <definedName name="da" hidden="1">{"RPT1",#N/A,FALSE,"OIC650A"}</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DCF" hidden="1">{"'Volumes (2)'!$A$8:$P$13"}</definedName>
    <definedName name="DD" hidden="1">{#N/A,#N/A,FALSE,"PERSONAL"}</definedName>
    <definedName name="ddd" hidden="1">{"RPT1",#N/A,FALSE,"OIC650A"}</definedName>
    <definedName name="DDDD" hidden="1">{#N/A,#N/A,FALSE,"Costos Productos 6A";#N/A,#N/A,FALSE,"Costo Unitario Total H-94-12"}</definedName>
    <definedName name="ddddd" hidden="1">{#N/A,#N/A,FALSE,"PERSONAL"}</definedName>
    <definedName name="ddddddd" hidden="1">{#N/A,#N/A,FALSE,"PERSONAL"}</definedName>
    <definedName name="ddddddddddddd" hidden="1">{#N/A,#N/A,FALSE,"Inhalt";#N/A,#N/A,FALSE,"Summary";#N/A,#N/A,FALSE,"BASF-Gruppe"}</definedName>
    <definedName name="debtmay2" hidden="1">{#N/A,#N/A,FALSE,"SOACHA"}</definedName>
    <definedName name="DEMeXToEUR" hidden="1">1/EUReXToDEM</definedName>
    <definedName name="DES" hidden="1">{#N/A,#N/A,FALSE,"PERSONAL"}</definedName>
    <definedName name="DF" hidden="1">{#N/A,#N/A,FALSE,"PERSONAL"}</definedName>
    <definedName name="DFA" hidden="1">{#N/A,#N/A,FALSE,"PERSONAL"}</definedName>
    <definedName name="dfd" hidden="1">{#N/A,#N/A,FALSE,"PERSONAL"}</definedName>
    <definedName name="DFDF" hidden="1">{#N/A,#N/A,FALSE,"PERSONAL"}</definedName>
    <definedName name="DFDFD" hidden="1">{#N/A,#N/A,FALSE,"PERSONAL"}</definedName>
    <definedName name="DFDFDFDFD" hidden="1">{#N/A,#N/A,FALSE,"PERSONAL"}</definedName>
    <definedName name="DFFDF" hidden="1">{#N/A,#N/A,FALSE,"SOACHA"}</definedName>
    <definedName name="dfr" hidden="1">{#N/A,#N/A,FALSE,"PERSONAL"}</definedName>
    <definedName name="different"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direccion" hidden="1">{#N/A,#N/A,FALSE,"SOACHA"}</definedName>
    <definedName name="DOTA" hidden="1">#REF!</definedName>
    <definedName name="DSD" hidden="1">{#N/A,#N/A,FALSE,"PERSONAL"}</definedName>
    <definedName name="DSDS" hidden="1">{#N/A,#N/A,FALSE,"PERSONAL"}</definedName>
    <definedName name="DSDSD" hidden="1">{#N/A,#N/A,FALSE,"PERSONAL"}</definedName>
    <definedName name="DSDSDS" hidden="1">{#N/A,#N/A,FALSE,"PERSONAL"}</definedName>
    <definedName name="DSDSDSD" hidden="1">{#N/A,#N/A,FALSE,"PERSONAL"}</definedName>
    <definedName name="DSFA" hidden="1">{#N/A,#N/A,FALSE,"PERSONAL"}</definedName>
    <definedName name="e" localSheetId="0" hidden="1">{#N/A,#N/A,FALSE,"Descargas";#N/A,#N/A,FALSE,"Mantto";#N/A,#N/A,FALSE,"Sabado";#N/A,#N/A,FALSE,"Domingo";#N/A,#N/A,FALSE,"Lunes";#N/A,#N/A,FALSE,"Martes";#N/A,#N/A,FALSE,"Miercoles";#N/A,#N/A,FALSE,"Jueves";#N/A,#N/A,FALSE,"Viernes"}</definedName>
    <definedName name="e" hidden="1">{#N/A,#N/A,FALSE,"Descargas";#N/A,#N/A,FALSE,"Mantto";#N/A,#N/A,FALSE,"Sabado";#N/A,#N/A,FALSE,"Domingo";#N/A,#N/A,FALSE,"Lunes";#N/A,#N/A,FALSE,"Martes";#N/A,#N/A,FALSE,"Miercoles";#N/A,#N/A,FALSE,"Jueves";#N/A,#N/A,FALSE,"Viernes"}</definedName>
    <definedName name="eden"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EE" hidden="1">{#N/A,#N/A,FALSE,"Costos Productos 6A";#N/A,#N/A,FALSE,"Costo Unitario Total H-94-12"}</definedName>
    <definedName name="eee" hidden="1">{#N/A,#N/A,FALSE,"DITCAR";#N/A,#N/A,FALSE,"a1";#N/A,#N/A,FALSE,"a2";#N/A,#N/A,FALSE,"a3";#N/A,#N/A,FALSE,"a4";#N/A,#N/A,FALSE,"a4a";#N/A,#N/A,FALSE,"a4B";#N/A,#N/A,FALSE,"a4C";#N/A,#N/A,FALSE,"A5a ";#N/A,#N/A,FALSE,"A5b";#N/A,#N/A,FALSE,"A6A";#N/A,#N/A,FALSE,"A6B";#N/A,#N/A,FALSE,"A6C";#N/A,#N/A,FALSE,"04PG12NB"}</definedName>
    <definedName name="eefaseIINCDIES" hidden="1">{#N/A,#N/A,FALSE,"DITCAR";#N/A,#N/A,FALSE,"a1";#N/A,#N/A,FALSE,"a2";#N/A,#N/A,FALSE,"a3";#N/A,#N/A,FALSE,"a4";#N/A,#N/A,FALSE,"a4a";#N/A,#N/A,FALSE,"a4B";#N/A,#N/A,FALSE,"a4C";#N/A,#N/A,FALSE,"A5a ";#N/A,#N/A,FALSE,"A5b";#N/A,#N/A,FALSE,"A6A";#N/A,#N/A,FALSE,"A6B";#N/A,#N/A,FALSE,"A6C";#N/A,#N/A,FALSE,"04PG12NB"}</definedName>
    <definedName name="EFECTO">#REF!</definedName>
    <definedName name="EFFASEI_INC_DIESEL2" hidden="1">{#N/A,#N/A,FALSE,"DITCAR";#N/A,#N/A,FALSE,"a1";#N/A,#N/A,FALSE,"a2";#N/A,#N/A,FALSE,"a3";#N/A,#N/A,FALSE,"a4";#N/A,#N/A,FALSE,"a4a";#N/A,#N/A,FALSE,"a4B";#N/A,#N/A,FALSE,"a4C";#N/A,#N/A,FALSE,"A5a ";#N/A,#N/A,FALSE,"A5b";#N/A,#N/A,FALSE,"A6A";#N/A,#N/A,FALSE,"A6B";#N/A,#N/A,FALSE,"A6C";#N/A,#N/A,FALSE,"04PG12NB"}</definedName>
    <definedName name="EJE" localSheetId="0" hidden="1">{#N/A,#N/A,FALSE,"Descargas";#N/A,#N/A,FALSE,"Mantto";#N/A,#N/A,FALSE,"Sabado";#N/A,#N/A,FALSE,"Domingo";#N/A,#N/A,FALSE,"Lunes";#N/A,#N/A,FALSE,"Martes";#N/A,#N/A,FALSE,"Miercoles";#N/A,#N/A,FALSE,"Jueves";#N/A,#N/A,FALSE,"Viernes"}</definedName>
    <definedName name="EJE" hidden="1">{#N/A,#N/A,FALSE,"Descargas";#N/A,#N/A,FALSE,"Mantto";#N/A,#N/A,FALSE,"Sabado";#N/A,#N/A,FALSE,"Domingo";#N/A,#N/A,FALSE,"Lunes";#N/A,#N/A,FALSE,"Martes";#N/A,#N/A,FALSE,"Miercoles";#N/A,#N/A,FALSE,"Jueves";#N/A,#N/A,FALSE,"Viernes"}</definedName>
    <definedName name="EJECUTADO" localSheetId="0" hidden="1">{#N/A,#N/A,FALSE,"Descargas";#N/A,#N/A,FALSE,"Mantto";#N/A,#N/A,FALSE,"Sabado";#N/A,#N/A,FALSE,"Domingo";#N/A,#N/A,FALSE,"Lunes";#N/A,#N/A,FALSE,"Martes";#N/A,#N/A,FALSE,"Miercoles";#N/A,#N/A,FALSE,"Jueves";#N/A,#N/A,FALSE,"Viernes"}</definedName>
    <definedName name="EJECUTADO" hidden="1">{#N/A,#N/A,FALSE,"Descargas";#N/A,#N/A,FALSE,"Mantto";#N/A,#N/A,FALSE,"Sabado";#N/A,#N/A,FALSE,"Domingo";#N/A,#N/A,FALSE,"Lunes";#N/A,#N/A,FALSE,"Martes";#N/A,#N/A,FALSE,"Miercoles";#N/A,#N/A,FALSE,"Jueves";#N/A,#N/A,FALSE,"Viernes"}</definedName>
    <definedName name="Elemento">#REF!</definedName>
    <definedName name="entrada">#REF!</definedName>
    <definedName name="ERE" hidden="1">{#N/A,#N/A,FALSE,"PERSONAL"}</definedName>
    <definedName name="ererrreer" hidden="1">{#N/A,#N/A,FALSE,"PERSONAL"}</definedName>
    <definedName name="Especialista" hidden="1">{#N/A,#N/A,FALSE,"Costos Productos 6A";#N/A,#N/A,FALSE,"Costo Unitario Total H-94-12"}</definedName>
    <definedName name="EstadoOperativo">#REF!</definedName>
    <definedName name="EUReXToDEM" hidden="1">#REF!</definedName>
    <definedName name="EWE" hidden="1">{#N/A,#N/A,FALSE,"PERSONAL"}</definedName>
    <definedName name="EWERE" hidden="1">{#N/A,#N/A,FALSE,"PERSONAL"}</definedName>
    <definedName name="EWEWE" hidden="1">{#N/A,#N/A,FALSE,"PERSONAL"}</definedName>
    <definedName name="EWEWEWE" hidden="1">{#N/A,#N/A,FALSE,"PERSONAL"}</definedName>
    <definedName name="exit" hidden="1">{#N/A,#N/A,FALSE,"FactSheet";#N/A,#N/A,FALSE,"Goals";#N/A,#N/A,FALSE,"IncCash";#N/A,#N/A,FALSE,"Production";#N/A,#N/A,FALSE,"Reserves";#N/A,#N/A,FALSE,"Inventory";#N/A,#N/A,FALSE,"HES"}</definedName>
    <definedName name="exit1" hidden="1">{#N/A,#N/A,FALSE,"FactSheet";#N/A,#N/A,FALSE,"Goals";#N/A,#N/A,FALSE,"IncCash";#N/A,#N/A,FALSE,"Production";#N/A,#N/A,FALSE,"Reserves";#N/A,#N/A,FALSE,"Inventory";#N/A,#N/A,FALSE,"HES"}</definedName>
    <definedName name="FA" hidden="1">{#N/A,#N/A,FALSE,"VOL695";#N/A,#N/A,FALSE,"anexo1";#N/A,#N/A,FALSE,"anexo2";#N/A,#N/A,FALSE,"anexo3";#N/A,#N/A,FALSE,"anexo4";#N/A,#N/A,FALSE,"anexo5a";#N/A,#N/A,FALSE,"anexo5b";#N/A,#N/A,FALSE,"anexo6a";#N/A,#N/A,FALSE,"anexo6a";#N/A,#N/A,FALSE,"anexo6c";#N/A,#N/A,FALSE,"anexo7a";#N/A,#N/A,FALSE,"anexo7b";#N/A,#N/A,FALSE,"anexo7c"}</definedName>
    <definedName name="faaf">#REF!</definedName>
    <definedName name="FD" hidden="1">{#N/A,#N/A,FALSE,"PERSONAL"}</definedName>
    <definedName name="FDFD" hidden="1">{#N/A,#N/A,FALSE,"PERSONAL"}</definedName>
    <definedName name="fdfdf" hidden="1">{#N/A,#N/A,FALSE,"PERSONAL"}</definedName>
    <definedName name="FDFDFD" hidden="1">{#N/A,#N/A,FALSE,"PERSONAL"}</definedName>
    <definedName name="FDFDFDFD" hidden="1">{#N/A,#N/A,FALSE,"PERSONAL"}</definedName>
    <definedName name="FDFDFDFDFDFDFDFDFDFDF" hidden="1">{#N/A,#N/A,FALSE,"PERSONAL"}</definedName>
    <definedName name="FDSFSDS" hidden="1">{#N/A,#N/A,FALSE,"PERSONAL"}</definedName>
    <definedName name="FECHAS">#REF!</definedName>
    <definedName name="FEEE" hidden="1">{#N/A,#N/A,FALSE,"PERSONAL"}</definedName>
    <definedName name="few" hidden="1">{#N/A,#N/A,FALSE,"SOACHA"}</definedName>
    <definedName name="ff" hidden="1">#REF!</definedName>
    <definedName name="FFFF" hidden="1">{#N/A,#N/A,FALSE,"VOL695";#N/A,#N/A,FALSE,"anexo1";#N/A,#N/A,FALSE,"anexo2";#N/A,#N/A,FALSE,"anexo3";#N/A,#N/A,FALSE,"anexo4";#N/A,#N/A,FALSE,"anexo5a";#N/A,#N/A,FALSE,"anexo5b";#N/A,#N/A,FALSE,"anexo6a";#N/A,#N/A,FALSE,"anexo6a";#N/A,#N/A,FALSE,"anexo6c";#N/A,#N/A,FALSE,"anexo7a";#N/A,#N/A,FALSE,"anexo7b";#N/A,#N/A,FALSE,"anexo7c"}</definedName>
    <definedName name="fffffff" hidden="1">{#N/A,#N/A,FALSE,"PERSONAL"}</definedName>
    <definedName name="fffggg" hidden="1">{#N/A,#N/A,FALSE,"PERSONAL"}</definedName>
    <definedName name="fghj" hidden="1">{#N/A,#N/A,FALSE,"PERSONAL"}</definedName>
    <definedName name="fhg" hidden="1">{#N/A,#N/A,TRUE,"1842CWN0"}</definedName>
    <definedName name="fina" hidden="1">#REF!</definedName>
    <definedName name="fORMA9698" hidden="1">{#N/A,#N/A,FALSE,"CIBHA05A";#N/A,#N/A,FALSE,"CIBHA05B"}</definedName>
    <definedName name="FORMAUNIT" hidden="1">{#N/A,#N/A,FALSE,"Costos Productos 6A";#N/A,#N/A,FALSE,"Costo Unitario Total H-94-12"}</definedName>
    <definedName name="fsdff" hidden="1">{#N/A,#N/A,FALSE,"Cover";#N/A,#N/A,FALSE,"Contents";#N/A,#N/A,FALSE,"8";#N/A,#N/A,FALSE,"9";#N/A,#N/A,FALSE,"10";#N/A,#N/A,FALSE,"11";#N/A,#N/A,FALSE,"12";#N/A,#N/A,FALSE,"13";#N/A,#N/A,FALSE,"14";#N/A,#N/A,FALSE,"15";#N/A,#N/A,FALSE,"16";#N/A,#N/A,FALSE,"17";#N/A,#N/A,FALSE,"18";#N/A,#N/A,FALSE,"19";#N/A,#N/A,FALSE,"20";#N/A,#N/A,FALSE,"21";#N/A,#N/A,FALSE,"27";#N/A,#N/A,FALSE,"28";#N/A,#N/A,FALSE,"29";#N/A,#N/A,FALSE,"StatSupp";#N/A,#N/A,FALSE,"30";#N/A,#N/A,FALSE,"31";#N/A,#N/A,FALSE,"32";#N/A,#N/A,FALSE,"33";#N/A,#N/A,FALSE,"Checklist";#N/A,#N/A,FALSE,"Error track"}</definedName>
    <definedName name="g" hidden="1">#REF!</definedName>
    <definedName name="gc" hidden="1">{#N/A,#N/A,FALSE,"SOACHA"}</definedName>
    <definedName name="Generacion_Total">#REF!</definedName>
    <definedName name="GF" hidden="1">{#N/A,#N/A,FALSE,"PERSONAL"}</definedName>
    <definedName name="gg" hidden="1">{#N/A,#N/A,FALSE,"Inhalt";#N/A,#N/A,FALSE,"Summary";#N/A,#N/A,FALSE,"BASF-Gruppe"}</definedName>
    <definedName name="Graf" hidden="1">#REF!</definedName>
    <definedName name="GRCHIS0599" hidden="1">{#N/A,#N/A,FALSE,"Costos Productos 6A";#N/A,#N/A,FALSE,"Costo Unitario Total H-94-12"}</definedName>
    <definedName name="GUS" hidden="1">{#N/A,#N/A,FALSE,"Costos Productos 6A";#N/A,#N/A,FALSE,"Costo Unitario Total H-94-12"}</definedName>
    <definedName name="GUSTAVO" hidden="1">{#N/A,#N/A,FALSE,"Costos Productos 6A";#N/A,#N/A,FALSE,"Costo Unitario Total H-94-12"}</definedName>
    <definedName name="Hallo" hidden="1">{#N/A,#N/A,FALSE,"VB_S1";#N/A,#N/A,FALSE,"VB_S2";#N/A,#N/A,FALSE,"VB_S3";#N/A,#N/A,FALSE,"VB_S4";#N/A,#N/A,FALSE,"VB_S5"}</definedName>
    <definedName name="Herramienta" hidden="1">{"'Sheet2'!$A$3:$B$17"}</definedName>
    <definedName name="hghghghghgh" hidden="1">{#N/A,#N/A,FALSE,"PERSONAL"}</definedName>
    <definedName name="hh" hidden="1">{#N/A,#N/A,FALSE,"VB_S1";#N/A,#N/A,FALSE,"VB_S2";#N/A,#N/A,FALSE,"VB_S3";#N/A,#N/A,FALSE,"VB_S4";#N/A,#N/A,FALSE,"VB_S5"}</definedName>
    <definedName name="hhghhghghhgg" hidden="1">{#N/A,#N/A,FALSE,"PERSONAL"}</definedName>
    <definedName name="hhhhhhhhhh" hidden="1">{#N/A,#N/A,FALSE,"PERSONAL"}</definedName>
    <definedName name="HIK" hidden="1">{#N/A,#N/A,FALSE,"PERSONAL"}</definedName>
    <definedName name="HISTORICO" hidden="1">{#N/A,#N/A,FALSE,"Costos Productos 6A";#N/A,#N/A,FALSE,"Costo Unitario Total H-94-12"}</definedName>
    <definedName name="hjk" hidden="1">{#N/A,#N/A,FALSE,"PERSONAL"}</definedName>
    <definedName name="HKJ" hidden="1">{#N/A,#N/A,FALSE,"PERSONAL"}</definedName>
    <definedName name="HOLA">#REF!</definedName>
    <definedName name="HSIT" hidden="1">{#N/A,#N/A,FALSE,"CIBHA05A";#N/A,#N/A,FALSE,"CIBHA05B"}</definedName>
    <definedName name="HTML_CodePage" hidden="1">1252</definedName>
    <definedName name="HTML_Control" hidden="1">{"'Sheet2'!$A$3:$B$17"}</definedName>
    <definedName name="HTML_Description" hidden="1">""</definedName>
    <definedName name="HTML_Email" hidden="1">""</definedName>
    <definedName name="HTML_Header" hidden="1">"Sheet2"</definedName>
    <definedName name="HTML_LastUpdate" hidden="1">"08/30/01"</definedName>
    <definedName name="HTML_LineAfter" hidden="1">FALSE</definedName>
    <definedName name="HTML_LineBefore" hidden="1">TRUE</definedName>
    <definedName name="HTML_Name" hidden="1">"Informacion y Computacion"</definedName>
    <definedName name="HTML_OBDlg2" hidden="1">TRUE</definedName>
    <definedName name="HTML_OBDlg4" hidden="1">TRUE</definedName>
    <definedName name="HTML_OS" hidden="1">0</definedName>
    <definedName name="HTML_PathFile" hidden="1">"N:\ACTIVIDADES DISTRITO HUILA\MANTENIMIENTO INDUSTRIAL\2PLANEACION\MyHTML.htm"</definedName>
    <definedName name="HTML_Title" hidden="1">"PLAN PERDIDAS 2001 ultimo"</definedName>
    <definedName name="HYKO" hidden="1">#REF!</definedName>
    <definedName name="IMPRIMIR_INFORME" localSheetId="0">#REF!</definedName>
    <definedName name="IMPRIMIR_INFORME">#REF!</definedName>
    <definedName name="indi"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INDPYG9698" hidden="1">{#N/A,#N/A,FALSE,"Costos Productos 6A";#N/A,#N/A,FALSE,"Costo Unitario Total H-94-12"}</definedName>
    <definedName name="inflList" hidden="1">"10000000000000000000000000000000000000000000000000000000000000000000000000000000000000000000000000000000000000000000000000000000000000000000000000000000000000000000000000000000000000000000000000000000"</definedName>
    <definedName name="ING" hidden="1">{#N/A,#N/A,FALSE,"DITCAR";#N/A,#N/A,FALSE,"a1";#N/A,#N/A,FALSE,"a2";#N/A,#N/A,FALSE,"a3";#N/A,#N/A,FALSE,"a4";#N/A,#N/A,FALSE,"a4a";#N/A,#N/A,FALSE,"a4B";#N/A,#N/A,FALSE,"a4C";#N/A,#N/A,FALSE,"A5a ";#N/A,#N/A,FALSE,"A5b";#N/A,#N/A,FALSE,"A6A";#N/A,#N/A,FALSE,"A6B";#N/A,#N/A,FALSE,"A6C";#N/A,#N/A,FALSE,"04PG12NB"}</definedName>
    <definedName name="INGREHIS" hidden="1">{#N/A,#N/A,FALSE,"CIBHA05A";#N/A,#N/A,FALSE,"CIBHA05B"}</definedName>
    <definedName name="Ingresos" hidden="1">{"'Sheet2'!$A$3:$B$17"}</definedName>
    <definedName name="Ingresos06" hidden="1">{"'Sheet2'!$A$3:$B$17"}</definedName>
    <definedName name="IOPIOU" hidden="1">{#N/A,#N/A,FALSE,"Costos Productos 6A";#N/A,#N/A,FALSE,"Costo Unitario Total H-94-12"}</definedName>
    <definedName name="IQ_ADDIN" hidden="1">"AUTO"</definedName>
    <definedName name="IQ_CH" hidden="1">110000</definedName>
    <definedName name="IQ_CQ" hidden="1">5000</definedName>
    <definedName name="IQ_CY" hidden="1">10000</definedName>
    <definedName name="IQ_DAILY" hidden="1">500000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NAMES_REVISION_DATE_" hidden="1">40585.6775347222</definedName>
    <definedName name="IQ_NTM" hidden="1">6000</definedName>
    <definedName name="IQ_TODAY" hidden="1">0</definedName>
    <definedName name="IQ_WEEK" hidden="1">50000</definedName>
    <definedName name="IQ_YTD" hidden="1">3000</definedName>
    <definedName name="IQ_YTDMONTH" hidden="1">130000</definedName>
    <definedName name="JOHN" hidden="1">{#N/A,#N/A,FALSE,"PERSONAL"}</definedName>
    <definedName name="jp" hidden="1">{#N/A,#N/A,FALSE,"SOACHA"}</definedName>
    <definedName name="kljh" hidden="1">{#N/A,#N/A,FALSE,"PERSONAL"}</definedName>
    <definedName name="ListaAC">#REF!:INDEX(#REF!,SUMPRODUCT((#REF!&lt;&gt;"""")*1))</definedName>
    <definedName name="ListaAD">#REF!:INDEX(#REF!,SUMPRODUCT((#REF!&lt;&gt;"""")*1))</definedName>
    <definedName name="ListaAE">#REF!:INDEX(#REF!,SUMPRODUCT((#REF!&lt;&gt;"""")*1))</definedName>
    <definedName name="ListaAF">#REF!:INDEX(#REF!,SUMPRODUCT((#REF!&lt;&gt;"""")*1))</definedName>
    <definedName name="ListaAG">#REF!:INDEX(#REF!,SUMPRODUCT((#REF!&lt;&gt;"""")*1))</definedName>
    <definedName name="ListaAH">#REF!:INDEX(#REF!,SUMPRODUCT((#REF!&lt;&gt;"""")*1))</definedName>
    <definedName name="ListaAI">#REF!:INDEX(#REF!,SUMPRODUCT((#REF!&lt;&gt;"""")*1))</definedName>
    <definedName name="ListaAJ">#REF!:INDEX(#REF!,SUMPRODUCT((#REF!&lt;&gt;"""")*1))</definedName>
    <definedName name="ListaAK">#REF!:INDEX(#REF!,SUMPRODUCT((#REF!&lt;&gt;"""")*1))</definedName>
    <definedName name="ListaAL">#REF!:INDEX(#REF!,SUMPRODUCT((#REF!&lt;&gt;"""")*1))</definedName>
    <definedName name="ListaAM">#REF!:INDEX(#REF!,SUMPRODUCT((#REF!&lt;&gt;"""")*1))</definedName>
    <definedName name="ListaAN">#REF!:INDEX(#REF!,SUMPRODUCT((#REF!&lt;&gt;"""")*1))</definedName>
    <definedName name="ListaAO">#REF!:INDEX(#REF!,SUMPRODUCT((#REF!&lt;&gt;"""")*1))</definedName>
    <definedName name="ListaAP">#REF!:INDEX(#REF!,SUMPRODUCT((#REF!&lt;&gt;"""")*1))</definedName>
    <definedName name="ListaAQ">#REF!:INDEX(#REF!,SUMPRODUCT((#REF!&lt;&gt;"""")*1))</definedName>
    <definedName name="ListaAR">#REF!:INDEX(#REF!,SUMPRODUCT((#REF!&lt;&gt;"""")*1))</definedName>
    <definedName name="ListaAS">#REF!:INDEX(#REF!,SUMPRODUCT((#REF!&lt;&gt;"""")*1))</definedName>
    <definedName name="ListaAT">#REF!:INDEX(#REF!,SUMPRODUCT((#REF!&lt;&gt;"""")*1))</definedName>
    <definedName name="ListaAU">#REF!:INDEX(#REF!,SUMPRODUCT((#REF!&lt;&gt;"""")*1))</definedName>
    <definedName name="ListaAV">#REF!:INDEX(#REF!,SUMPRODUCT((#REF!&lt;&gt;"""")*1))</definedName>
    <definedName name="M_FLUJO_DE_CAJA">#REF!</definedName>
    <definedName name="MATERIALES">#REF!</definedName>
    <definedName name="MATRIZ1">#REF!</definedName>
    <definedName name="MATRIZ2">#REF!</definedName>
    <definedName name="mem" hidden="1">{#N/A,#N/A,FALSE,"Costos Productos 6A";#N/A,#N/A,FALSE,"Costo Unitario Total H-94-12"}</definedName>
    <definedName name="memorias" hidden="1">{#N/A,#N/A,FALSE,"CIBHA05A";#N/A,#N/A,FALSE,"CIBHA05B"}</definedName>
    <definedName name="MEMPYGH" hidden="1">{#N/A,#N/A,FALSE,"Costos Productos 6A";#N/A,#N/A,FALSE,"Costo Unitario Total H-94-12"}</definedName>
    <definedName name="MEMPYGHIS" hidden="1">{#N/A,#N/A,FALSE,"VOL695";#N/A,#N/A,FALSE,"anexo1";#N/A,#N/A,FALSE,"anexo2";#N/A,#N/A,FALSE,"anexo3";#N/A,#N/A,FALSE,"anexo4";#N/A,#N/A,FALSE,"anexo5a";#N/A,#N/A,FALSE,"anexo5b";#N/A,#N/A,FALSE,"anexo6a";#N/A,#N/A,FALSE,"anexo6a";#N/A,#N/A,FALSE,"anexo6c";#N/A,#N/A,FALSE,"anexo7a";#N/A,#N/A,FALSE,"anexo7b";#N/A,#N/A,FALSE,"anexo7c"}</definedName>
    <definedName name="MesUPA">#REF!</definedName>
    <definedName name="MLKJ" hidden="1">{#N/A,#N/A,FALSE,"Costos Productos 6A";#N/A,#N/A,FALSE,"Costo Unitario Total H-94-12"}</definedName>
    <definedName name="more_stuff"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MOYOPAMPA">#REF!</definedName>
    <definedName name="niks" hidden="1">#REF!</definedName>
    <definedName name="NivelRiesgo">#REF!</definedName>
    <definedName name="noemi" hidden="1">{#N/A,#N/A,FALSE,"Costos Productos 6A";#N/A,#N/A,FALSE,"Costo Unitario Total H-94-12"}</definedName>
    <definedName name="not" hidden="1">{#N/A,#N/A,FALSE,"Cover";#N/A,#N/A,FALSE,"Contents";#N/A,#N/A,FALSE,"8";#N/A,#N/A,FALSE,"9";#N/A,#N/A,FALSE,"10";#N/A,#N/A,FALSE,"11";#N/A,#N/A,FALSE,"12";#N/A,#N/A,FALSE,"13";#N/A,#N/A,FALSE,"14";#N/A,#N/A,FALSE,"15";#N/A,#N/A,FALSE,"16";#N/A,#N/A,FALSE,"17";#N/A,#N/A,FALSE,"18";#N/A,#N/A,FALSE,"19";#N/A,#N/A,FALSE,"20";#N/A,#N/A,FALSE,"21";#N/A,#N/A,FALSE,"27";#N/A,#N/A,FALSE,"28";#N/A,#N/A,FALSE,"29";#N/A,#N/A,FALSE,"StatSupp";#N/A,#N/A,FALSE,"30";#N/A,#N/A,FALSE,"31";#N/A,#N/A,FALSE,"32";#N/A,#N/A,FALSE,"33";#N/A,#N/A,FALSE,"Checklist";#N/A,#N/A,FALSE,"Error track"}</definedName>
    <definedName name="Nueva" hidden="1">{#N/A,#N/A,FALSE,"a1";#N/A,#N/A,FALSE,"a2";#N/A,#N/A,FALSE,"a3";#N/A,#N/A,FALSE,"a4a";#N/A,#N/A,FALSE,"a4B";#N/A,#N/A,FALSE,"a4C";#N/A,#N/A,FALSE,"a4D";#N/A,#N/A,FALSE,"A5a ";#N/A,#N/A,FALSE,"A5b";#N/A,#N/A,FALSE,"A6A";#N/A,#N/A,FALSE,"A6B";#N/A,#N/A,FALSE,"A6C";#N/A,#N/A,FALSE,"A6D";#N/A,#N/A,FALSE,"INV"}</definedName>
    <definedName name="NUEVASOTS">#REF!</definedName>
    <definedName name="NyA">#REF!</definedName>
    <definedName name="ññ" hidden="1">{#N/A,#N/A,FALSE,"PERSONAL"}</definedName>
    <definedName name="Observaciones_Gen">#REF!</definedName>
    <definedName name="oficial" hidden="1">{#N/A,#N/A,FALSE,"CIBHA05A";#N/A,#N/A,FALSE,"CIBHA05B"}</definedName>
    <definedName name="OIl_Gross"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OLGA" hidden="1">#REF!</definedName>
    <definedName name="Oman4" hidden="1">{#N/A,#N/A,FALSE,"FRONT";#N/A,#N/A,FALSE,"TOTAL";#N/A,#N/A,FALSE,"ADMIN EXPL Dept.";#N/A,#N/A,FALSE,"ANAexpl.V";#N/A,#N/A,FALSE,"ANA expl. H";#N/A,#N/A,FALSE,"ANAdev. V.";#N/A,#N/A,FALSE,"ANA dev. H.";#N/A,#N/A,FALSE,"BHP V";#N/A,#N/A,FALSE,"BHP H.";#N/A,#N/A,FALSE,"OMAN V.";#N/A,#N/A,FALSE,"OMAN H.";#N/A,#N/A,FALSE,"MARATUA V.";#N/A,#N/A,FALSE,"MARATUA H.";#N/A,#N/A,FALSE,"KARANG V.";#N/A,#N/A,FALSE,"KARANG H";#N/A,#N/A,FALSE,"HORNGRABEN V";#N/A,#N/A,FALSE,"HORNGRABEN H";#N/A,#N/A,FALSE,"DOK;UK";#N/A,#N/A,FALSE,"FAROE ISLANDS"}</definedName>
    <definedName name="Origen_Gen">#REF!</definedName>
    <definedName name="OTSNUEVAS">#REF!</definedName>
    <definedName name="OTSREVISADAS">#REF!</definedName>
    <definedName name="P"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P_SANTAROSA">[1]PRECIARIO!$A$4:$AK$574</definedName>
    <definedName name="P_VENTANILLA">[2]PRECIARIO!$A$4:$AK$574</definedName>
    <definedName name="Periodicidad">#REF!</definedName>
    <definedName name="Potencia_Efectiva">#N/A</definedName>
    <definedName name="POZO" hidden="1">"M:\Datos\PRESUPUESTO Vs GASTOS\DB EJECUCION  PvsG-0SM.mdb"</definedName>
    <definedName name="ppp" hidden="1">{#N/A,#N/A,FALSE,"SOACHA"}</definedName>
    <definedName name="PPT" hidden="1">#REF!</definedName>
    <definedName name="PPTACUM" hidden="1">{#N/A,#N/A,FALSE,"SOACHA"}</definedName>
    <definedName name="PPTACUMG" hidden="1">{#N/A,#N/A,FALSE,"SOACHA"}</definedName>
    <definedName name="PRINT" hidden="1">{#N/A,#N/A,FALSE,"FRONT";#N/A,#N/A,FALSE,"TOTAL";#N/A,#N/A,FALSE,"ADMIN EXPL Dept.";#N/A,#N/A,FALSE,"ANAexpl.V";#N/A,#N/A,FALSE,"ANA expl. H";#N/A,#N/A,FALSE,"ANAdev. V.";#N/A,#N/A,FALSE,"ANA dev. H.";#N/A,#N/A,FALSE,"BHP V";#N/A,#N/A,FALSE,"BHP H.";#N/A,#N/A,FALSE,"OMAN V.";#N/A,#N/A,FALSE,"OMAN H.";#N/A,#N/A,FALSE,"MARATUA V.";#N/A,#N/A,FALSE,"MARATUA H.";#N/A,#N/A,FALSE,"KARANG V.";#N/A,#N/A,FALSE,"KARANG H";#N/A,#N/A,FALSE,"HORNGRABEN V";#N/A,#N/A,FALSE,"HORNGRABEN H";#N/A,#N/A,FALSE,"DOK;UK";#N/A,#N/A,FALSE,"FAROE ISLANDS"}</definedName>
    <definedName name="prueba">#REF!</definedName>
    <definedName name="PSW_CALCULATE_0" hidden="1">#REF!</definedName>
    <definedName name="PSW_SAVE_0" hidden="1">#REF!</definedName>
    <definedName name="PSWInput_0_10" hidden="1">#REF!</definedName>
    <definedName name="PSWInput_0_11" hidden="1">#REF!</definedName>
    <definedName name="PSWInput_0_12" hidden="1">#REF!</definedName>
    <definedName name="PSWInput_0_13" hidden="1">#REF!</definedName>
    <definedName name="PSWInput_0_14" hidden="1">#REF!</definedName>
    <definedName name="PSWInput_0_15" hidden="1">#REF!</definedName>
    <definedName name="PSWInput_0_16" hidden="1">#REF!</definedName>
    <definedName name="PSWInput_0_17" hidden="1">#REF!</definedName>
    <definedName name="PSWInput_0_18" hidden="1">#REF!</definedName>
    <definedName name="PSWInput_0_19" hidden="1">#REF!</definedName>
    <definedName name="PSWInput_0_2" hidden="1">#REF!</definedName>
    <definedName name="PSWInput_0_20" hidden="1">#REF!</definedName>
    <definedName name="PSWInput_0_21" hidden="1">#REF!</definedName>
    <definedName name="PSWInput_0_22" hidden="1">#REF!</definedName>
    <definedName name="PSWInput_0_23" hidden="1">#REF!</definedName>
    <definedName name="PSWInput_0_24" hidden="1">#REF!</definedName>
    <definedName name="PSWInput_0_25" hidden="1">#REF!</definedName>
    <definedName name="PSWInput_0_26" hidden="1">#REF!</definedName>
    <definedName name="PSWInput_0_27" hidden="1">#REF!</definedName>
    <definedName name="PSWInput_0_28" hidden="1">#REF!</definedName>
    <definedName name="PSWInput_0_29" hidden="1">#REF!</definedName>
    <definedName name="PSWInput_0_3" hidden="1">#REF!</definedName>
    <definedName name="PSWInput_0_30" hidden="1">#REF!</definedName>
    <definedName name="PSWInput_0_31" hidden="1">#REF!</definedName>
    <definedName name="PSWInput_0_32" hidden="1">#REF!</definedName>
    <definedName name="PSWInput_0_33" hidden="1">#REF!</definedName>
    <definedName name="PSWInput_0_34" hidden="1">#REF!</definedName>
    <definedName name="PSWInput_0_35" hidden="1">#REF!</definedName>
    <definedName name="PSWInput_0_36" hidden="1">#REF!</definedName>
    <definedName name="PSWInput_0_37" hidden="1">#REF!</definedName>
    <definedName name="PSWInput_0_38" hidden="1">#REF!</definedName>
    <definedName name="PSWInput_0_39" hidden="1">#REF!</definedName>
    <definedName name="PSWInput_0_4" hidden="1">#REF!</definedName>
    <definedName name="PSWInput_0_40" hidden="1">#REF!</definedName>
    <definedName name="PSWInput_0_41" hidden="1">#REF!</definedName>
    <definedName name="PSWInput_0_42" hidden="1">#REF!</definedName>
    <definedName name="PSWInput_0_43" hidden="1">#REF!</definedName>
    <definedName name="PSWInput_0_44" hidden="1">#REF!</definedName>
    <definedName name="PSWInput_0_45" hidden="1">#REF!</definedName>
    <definedName name="PSWInput_0_46" hidden="1">#REF!</definedName>
    <definedName name="PSWInput_0_47" hidden="1">#REF!</definedName>
    <definedName name="PSWInput_0_48" hidden="1">#REF!</definedName>
    <definedName name="PSWInput_0_49" hidden="1">#REF!</definedName>
    <definedName name="PSWInput_0_5" hidden="1">#REF!</definedName>
    <definedName name="PSWInput_0_50" hidden="1">#REF!</definedName>
    <definedName name="PSWInput_0_51" hidden="1">#REF!</definedName>
    <definedName name="PSWInput_0_52" hidden="1">#REF!</definedName>
    <definedName name="PSWInput_0_53" hidden="1">#REF!</definedName>
    <definedName name="PSWInput_0_54" hidden="1">#REF!</definedName>
    <definedName name="PSWInput_0_55" hidden="1">#REF!</definedName>
    <definedName name="PSWInput_0_56" hidden="1">#REF!</definedName>
    <definedName name="PSWInput_0_57" hidden="1">#REF!</definedName>
    <definedName name="PSWInput_0_58" hidden="1">#REF!</definedName>
    <definedName name="PSWInput_0_59" hidden="1">#REF!</definedName>
    <definedName name="PSWInput_0_6" hidden="1">#REF!</definedName>
    <definedName name="PSWInput_0_7" hidden="1">#REF!</definedName>
    <definedName name="PSWInput_0_8" hidden="1">#REF!</definedName>
    <definedName name="PSWInput_0_9" hidden="1">#REF!</definedName>
    <definedName name="PSWIsControlVisible_0_0" hidden="1">#REF!</definedName>
    <definedName name="PSWIsControlVisible_0_1" hidden="1">#REF!</definedName>
    <definedName name="PSWIsControlVisible_0_10" hidden="1">#REF!</definedName>
    <definedName name="PSWIsControlVisible_0_11" hidden="1">#REF!</definedName>
    <definedName name="PSWIsControlVisible_0_12" hidden="1">#REF!</definedName>
    <definedName name="PSWIsControlVisible_0_13" hidden="1">#REF!</definedName>
    <definedName name="PSWIsControlVisible_0_14" hidden="1">#REF!</definedName>
    <definedName name="PSWIsControlVisible_0_15" hidden="1">#REF!</definedName>
    <definedName name="PSWIsControlVisible_0_16" hidden="1">#REF!</definedName>
    <definedName name="PSWIsControlVisible_0_17" hidden="1">#REF!</definedName>
    <definedName name="PSWIsControlVisible_0_18" hidden="1">#REF!</definedName>
    <definedName name="PSWIsControlVisible_0_19" hidden="1">#REF!</definedName>
    <definedName name="PSWIsControlVisible_0_2" hidden="1">#REF!</definedName>
    <definedName name="PSWIsControlVisible_0_20" hidden="1">#REF!</definedName>
    <definedName name="PSWIsControlVisible_0_21" hidden="1">#REF!</definedName>
    <definedName name="PSWIsControlVisible_0_22" hidden="1">#REF!</definedName>
    <definedName name="PSWIsControlVisible_0_23" hidden="1">#REF!</definedName>
    <definedName name="PSWIsControlVisible_0_24" hidden="1">#REF!</definedName>
    <definedName name="PSWIsControlVisible_0_25" hidden="1">#REF!</definedName>
    <definedName name="PSWIsControlVisible_0_26" hidden="1">#REF!</definedName>
    <definedName name="PSWIsControlVisible_0_27" hidden="1">#REF!</definedName>
    <definedName name="PSWIsControlVisible_0_28" hidden="1">#REF!</definedName>
    <definedName name="PSWIsControlVisible_0_29" hidden="1">#REF!</definedName>
    <definedName name="PSWIsControlVisible_0_3" hidden="1">#REF!</definedName>
    <definedName name="PSWIsControlVisible_0_30" hidden="1">#REF!</definedName>
    <definedName name="PSWIsControlVisible_0_31" hidden="1">#REF!</definedName>
    <definedName name="PSWIsControlVisible_0_32" hidden="1">#REF!</definedName>
    <definedName name="PSWIsControlVisible_0_33" hidden="1">#REF!</definedName>
    <definedName name="PSWIsControlVisible_0_34" hidden="1">#REF!</definedName>
    <definedName name="PSWIsControlVisible_0_35" hidden="1">#REF!</definedName>
    <definedName name="PSWIsControlVisible_0_36" hidden="1">#REF!</definedName>
    <definedName name="PSWIsControlVisible_0_37" hidden="1">#REF!</definedName>
    <definedName name="PSWIsControlVisible_0_38" hidden="1">#REF!</definedName>
    <definedName name="PSWIsControlVisible_0_39" hidden="1">#REF!</definedName>
    <definedName name="PSWIsControlVisible_0_4" hidden="1">#REF!</definedName>
    <definedName name="PSWIsControlVisible_0_40" hidden="1">#REF!</definedName>
    <definedName name="PSWIsControlVisible_0_41" hidden="1">#REF!</definedName>
    <definedName name="PSWIsControlVisible_0_42" hidden="1">#REF!</definedName>
    <definedName name="PSWIsControlVisible_0_43" hidden="1">#REF!</definedName>
    <definedName name="PSWIsControlVisible_0_44" hidden="1">#REF!</definedName>
    <definedName name="PSWIsControlVisible_0_45" hidden="1">#REF!</definedName>
    <definedName name="PSWIsControlVisible_0_46" hidden="1">#REF!</definedName>
    <definedName name="PSWIsControlVisible_0_47" hidden="1">#REF!</definedName>
    <definedName name="PSWIsControlVisible_0_48" hidden="1">#REF!</definedName>
    <definedName name="PSWIsControlVisible_0_49" hidden="1">#REF!</definedName>
    <definedName name="PSWIsControlVisible_0_5" hidden="1">#REF!</definedName>
    <definedName name="PSWIsControlVisible_0_50" hidden="1">#REF!</definedName>
    <definedName name="PSWIsControlVisible_0_51" hidden="1">#REF!</definedName>
    <definedName name="PSWIsControlVisible_0_52" hidden="1">#REF!</definedName>
    <definedName name="PSWIsControlVisible_0_53" hidden="1">#REF!</definedName>
    <definedName name="PSWIsControlVisible_0_54" hidden="1">#REF!</definedName>
    <definedName name="PSWIsControlVisible_0_55" hidden="1">#REF!</definedName>
    <definedName name="PSWIsControlVisible_0_56" hidden="1">#REF!</definedName>
    <definedName name="PSWIsControlVisible_0_57" hidden="1">#REF!</definedName>
    <definedName name="PSWIsControlVisible_0_58" hidden="1">#REF!</definedName>
    <definedName name="PSWIsControlVisible_0_59" hidden="1">#REF!</definedName>
    <definedName name="PSWIsControlVisible_0_6" hidden="1">#REF!</definedName>
    <definedName name="PSWIsControlVisible_0_7" hidden="1">#REF!</definedName>
    <definedName name="PSWIsControlVisible_0_8" hidden="1">#REF!</definedName>
    <definedName name="PSWIsControlVisible_0_9" hidden="1">#REF!</definedName>
    <definedName name="PSWIsPageVisible_1" hidden="1">#REF!</definedName>
    <definedName name="PSWList_0_20" hidden="1">#REF!</definedName>
    <definedName name="PSWList_0_21" hidden="1">#REF!</definedName>
    <definedName name="PSWList_0_22" hidden="1">#REF!</definedName>
    <definedName name="PSWList_0_23" hidden="1">#REF!</definedName>
    <definedName name="PSWList_0_24" hidden="1">#REF!</definedName>
    <definedName name="PSWList_0_25" hidden="1">#REF!</definedName>
    <definedName name="PSWList_0_26" hidden="1">#REF!</definedName>
    <definedName name="PSWList_0_27" hidden="1">#REF!</definedName>
    <definedName name="PSWList_0_28" hidden="1">#REF!</definedName>
    <definedName name="PSWList_0_29" hidden="1">#REF!</definedName>
    <definedName name="PSWList_0_30" hidden="1">#REF!</definedName>
    <definedName name="PSWList_0_31" hidden="1">#REF!</definedName>
    <definedName name="PSWList_0_32" hidden="1">#REF!</definedName>
    <definedName name="PSWList_0_33" hidden="1">#REF!</definedName>
    <definedName name="PSWList_0_34" hidden="1">#REF!</definedName>
    <definedName name="PSWList_0_35" hidden="1">#REF!</definedName>
    <definedName name="PSWList_0_36" hidden="1">#REF!</definedName>
    <definedName name="PSWList_0_37" hidden="1">#REF!</definedName>
    <definedName name="PSWList_0_38" hidden="1">#REF!</definedName>
    <definedName name="PSWList_0_39" hidden="1">#REF!</definedName>
    <definedName name="PSWSavingCell_0" hidden="1">#REF!</definedName>
    <definedName name="PSWSavingCell_10" hidden="1">#REF!</definedName>
    <definedName name="PSWSavingCell_11" hidden="1">#REF!</definedName>
    <definedName name="PSWSavingCell_12" hidden="1">#REF!</definedName>
    <definedName name="PSWSavingCell_13" hidden="1">#REF!</definedName>
    <definedName name="PSWSavingCell_14" hidden="1">#REF!</definedName>
    <definedName name="PSWSavingCell_15" hidden="1">#REF!</definedName>
    <definedName name="PSWSavingCell_16" hidden="1">#REF!</definedName>
    <definedName name="PSWSavingCell_17" hidden="1">#REF!</definedName>
    <definedName name="PSWSavingCell_18" hidden="1">#REF!</definedName>
    <definedName name="PSWSavingCell_19" hidden="1">#REF!</definedName>
    <definedName name="PSWSavingCell_20" hidden="1">#REF!</definedName>
    <definedName name="PSWSavingCell_21" hidden="1">#REF!</definedName>
    <definedName name="PSWSavingCell_22" hidden="1">#REF!</definedName>
    <definedName name="PSWSavingCell_23" hidden="1">#REF!</definedName>
    <definedName name="PSWSavingCell_24" hidden="1">#REF!</definedName>
    <definedName name="PSWSavingCell_25" hidden="1">#REF!</definedName>
    <definedName name="PSWSavingCell_26" hidden="1">#REF!</definedName>
    <definedName name="PSWSavingCell_27" hidden="1">#REF!</definedName>
    <definedName name="PSWSavingCell_28" hidden="1">#REF!</definedName>
    <definedName name="PSWSavingCell_29" hidden="1">#REF!</definedName>
    <definedName name="PSWSavingCell_3" hidden="1">#REF!</definedName>
    <definedName name="PSWSavingCell_30" hidden="1">#REF!</definedName>
    <definedName name="PSWSavingCell_31" hidden="1">#REF!</definedName>
    <definedName name="PSWSavingCell_32" hidden="1">#REF!</definedName>
    <definedName name="PSWSavingCell_33" hidden="1">#REF!</definedName>
    <definedName name="PSWSavingCell_34" hidden="1">#REF!</definedName>
    <definedName name="PSWSavingCell_35" hidden="1">#REF!</definedName>
    <definedName name="PSWSavingCell_36" hidden="1">#REF!</definedName>
    <definedName name="PSWSavingCell_37" hidden="1">#REF!</definedName>
    <definedName name="PSWSavingCell_38" hidden="1">#REF!</definedName>
    <definedName name="PSWSavingCell_39" hidden="1">#REF!</definedName>
    <definedName name="PSWSavingCell_4" hidden="1">#REF!</definedName>
    <definedName name="PSWSavingCell_40" hidden="1">#REF!</definedName>
    <definedName name="PSWSavingCell_41" hidden="1">#REF!</definedName>
    <definedName name="PSWSavingCell_42" hidden="1">#REF!</definedName>
    <definedName name="PSWSavingCell_43" hidden="1">#REF!</definedName>
    <definedName name="PSWSavingCell_44" hidden="1">#REF!</definedName>
    <definedName name="PSWSavingCell_45" hidden="1">#REF!</definedName>
    <definedName name="PSWSavingCell_46" hidden="1">#REF!</definedName>
    <definedName name="PSWSavingCell_47" hidden="1">#REF!</definedName>
    <definedName name="PSWSavingCell_48" hidden="1">#REF!</definedName>
    <definedName name="PSWSavingCell_49" hidden="1">#REF!</definedName>
    <definedName name="PSWSavingCell_5" hidden="1">#REF!</definedName>
    <definedName name="PSWSavingCell_50" hidden="1">#REF!</definedName>
    <definedName name="PSWSavingCell_51" hidden="1">#REF!</definedName>
    <definedName name="PSWSavingCell_52" hidden="1">#REF!</definedName>
    <definedName name="PSWSavingCell_53" hidden="1">#REF!</definedName>
    <definedName name="PSWSavingCell_54" hidden="1">#REF!</definedName>
    <definedName name="PSWSavingCell_55" hidden="1">#REF!</definedName>
    <definedName name="PSWSavingCell_56" hidden="1">#REF!</definedName>
    <definedName name="PSWSavingCell_57" hidden="1">#REF!</definedName>
    <definedName name="PSWSavingCell_58" hidden="1">#REF!</definedName>
    <definedName name="PSWSavingCell_59" hidden="1">#REF!</definedName>
    <definedName name="PSWSavingCell_6" hidden="1">#REF!</definedName>
    <definedName name="PSWSavingCell_60" hidden="1">#REF!</definedName>
    <definedName name="PSWSavingCell_7" hidden="1">#REF!</definedName>
    <definedName name="PSWSavingCell_8" hidden="1">#REF!</definedName>
    <definedName name="PSWSavingCell_9" hidden="1">#REF!</definedName>
    <definedName name="PSWSeries_0_0_Labels" hidden="1">#REF!</definedName>
    <definedName name="PSWSeries_0_0_Values" hidden="1">#REF!</definedName>
    <definedName name="PSWSeries_0_1_Labels" hidden="1">#REF!</definedName>
    <definedName name="PSWSeries_0_1_Values" hidden="1">#REF!</definedName>
    <definedName name="PSWSeries_0_2_Values" hidden="1">#REF!</definedName>
    <definedName name="pue" hidden="1">{#N/A,#N/A,FALSE,"PERSONAL"}</definedName>
    <definedName name="pyg" hidden="1">{#N/A,#N/A,FALSE,"Costos Productos 6A";#N/A,#N/A,FALSE,"Costo Unitario Total H-94-12"}</definedName>
    <definedName name="PYGAJ" hidden="1">{#N/A,#N/A,FALSE,"VOL695";#N/A,#N/A,FALSE,"anexo1";#N/A,#N/A,FALSE,"anexo2";#N/A,#N/A,FALSE,"anexo3";#N/A,#N/A,FALSE,"anexo4";#N/A,#N/A,FALSE,"anexo5a";#N/A,#N/A,FALSE,"anexo5b";#N/A,#N/A,FALSE,"anexo6a";#N/A,#N/A,FALSE,"anexo6a";#N/A,#N/A,FALSE,"anexo6c";#N/A,#N/A,FALSE,"anexo7a";#N/A,#N/A,FALSE,"anexo7b";#N/A,#N/A,FALSE,"anexo7c"}</definedName>
    <definedName name="PYGCON" hidden="1">{#N/A,#N/A,FALSE,"Costos Productos 6A";#N/A,#N/A,FALSE,"Costo Unitario Total H-94-12"}</definedName>
    <definedName name="PYGCONTABLE" hidden="1">{#N/A,#N/A,FALSE,"Costos Productos 6A";#N/A,#N/A,FALSE,"Costo Unitario Total H-94-12"}</definedName>
    <definedName name="PYGCONTBLCRUDO" hidden="1">{#N/A,#N/A,FALSE,"Costos Productos 6A";#N/A,#N/A,FALSE,"Costo Unitario Total H-94-12"}</definedName>
    <definedName name="PYGCONTPTO" hidden="1">{#N/A,#N/A,FALSE,"Costos Productos 6A";#N/A,#N/A,FALSE,"Costo Unitario Total H-94-12"}</definedName>
    <definedName name="PYGGRCAJ" hidden="1">{#N/A,#N/A,FALSE,"Costos Productos 6A";#N/A,#N/A,FALSE,"Costo Unitario Total H-94-12"}</definedName>
    <definedName name="PYGHGRC" hidden="1">{#N/A,#N/A,FALSE,"Costos Productos 6A";#N/A,#N/A,FALSE,"Costo Unitario Total H-94-12"}</definedName>
    <definedName name="PYGRC" hidden="1">{#N/A,#N/A,FALSE,"VOL695";#N/A,#N/A,FALSE,"anexo1";#N/A,#N/A,FALSE,"anexo2";#N/A,#N/A,FALSE,"anexo3";#N/A,#N/A,FALSE,"anexo4";#N/A,#N/A,FALSE,"anexo5a";#N/A,#N/A,FALSE,"anexo5b";#N/A,#N/A,FALSE,"anexo6a";#N/A,#N/A,FALSE,"anexo6a";#N/A,#N/A,FALSE,"anexo6c";#N/A,#N/A,FALSE,"anexo7a";#N/A,#N/A,FALSE,"anexo7b";#N/A,#N/A,FALSE,"anexo7c"}</definedName>
    <definedName name="QE" hidden="1">{#N/A,#N/A,FALSE,"Costos Productos 6A";#N/A,#N/A,FALSE,"Costo Unitario Total H-94-12"}</definedName>
    <definedName name="qqqqqqqq" hidden="1">{#N/A,#N/A,FALSE,"PERSONAL"}</definedName>
    <definedName name="QR" hidden="1">{#N/A,#N/A,FALSE,"Costos Productos 6A";#N/A,#N/A,FALSE,"Costo Unitario Total H-94-12"}</definedName>
    <definedName name="QT" hidden="1">{#N/A,#N/A,FALSE,"Costos Productos 6A";#N/A,#N/A,FALSE,"Costo Unitario Total H-94-12"}</definedName>
    <definedName name="QU" hidden="1">{#N/A,#N/A,FALSE,"Costos Productos 6A";#N/A,#N/A,FALSE,"Costo Unitario Total H-94-12"}</definedName>
    <definedName name="QW" hidden="1">{#N/A,#N/A,FALSE,"Costos Productos 6A";#N/A,#N/A,FALSE,"Costo Unitario Total H-94-12"}</definedName>
    <definedName name="RE" hidden="1">{#N/A,#N/A,FALSE,"PERSONAL"}</definedName>
    <definedName name="Ref_Gen">#REF!</definedName>
    <definedName name="REQUERIMIENTO">#REF!</definedName>
    <definedName name="rerererere" hidden="1">{#N/A,#N/A,FALSE,"PERSONAL"}</definedName>
    <definedName name="RETR" hidden="1">{#N/A,#N/A,FALSE,"PERSONAL"}</definedName>
    <definedName name="RR" hidden="1">#REF!</definedName>
    <definedName name="s">#REF!</definedName>
    <definedName name="SAL">#REF!</definedName>
    <definedName name="salida">#REF!</definedName>
    <definedName name="SAPBEXhrIndnt" hidden="1">"Wide"</definedName>
    <definedName name="SAPBEXrevision" hidden="1">51</definedName>
    <definedName name="SAPBEXsysID" hidden="1">"Z2P"</definedName>
    <definedName name="SAPBEXwbID" hidden="1">"3WQ23YK5AGCVS4N8DC807O8N5"</definedName>
    <definedName name="SAPsysID" hidden="1">"708C5W7SBKP804JT78WJ0JNKI"</definedName>
    <definedName name="SAPwbID" hidden="1">"ARS"</definedName>
    <definedName name="sd" hidden="1">{#N/A,#N/A,FALSE,"VB_S1";#N/A,#N/A,FALSE,"VB_S2";#N/A,#N/A,FALSE,"VB_S3";#N/A,#N/A,FALSE,"VB_S4";#N/A,#N/A,FALSE,"VB_S5"}</definedName>
    <definedName name="SDS" hidden="1">{#N/A,#N/A,FALSE,"PERSONAL"}</definedName>
    <definedName name="Septiembre">#REF!</definedName>
    <definedName name="set" hidden="1">{#N/A,#N/A,FALSE,"SOACHA"}</definedName>
    <definedName name="SKANSKA">#REF!</definedName>
    <definedName name="SKANSKA2">#REF!</definedName>
    <definedName name="SKK">#REF!</definedName>
    <definedName name="SS" hidden="1">{#N/A,#N/A,FALSE,"Costos Productos 6A";#N/A,#N/A,FALSE,"Costo Unitario Total H-94-12"}</definedName>
    <definedName name="stff"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stuff"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Subestacion">#REF!</definedName>
    <definedName name="sxasxax">#REF!</definedName>
    <definedName name="T" hidden="1">{#N/A,#N/A,FALSE,"PERSONAL"}</definedName>
    <definedName name="te" hidden="1">{#N/A,#N/A,FALSE,"Cover";#N/A,#N/A,FALSE,"Contents";#N/A,#N/A,FALSE,"8";#N/A,#N/A,FALSE,"9";#N/A,#N/A,FALSE,"10";#N/A,#N/A,FALSE,"11";#N/A,#N/A,FALSE,"12";#N/A,#N/A,FALSE,"13";#N/A,#N/A,FALSE,"14";#N/A,#N/A,FALSE,"15";#N/A,#N/A,FALSE,"16";#N/A,#N/A,FALSE,"17";#N/A,#N/A,FALSE,"18";#N/A,#N/A,FALSE,"19";#N/A,#N/A,FALSE,"20";#N/A,#N/A,FALSE,"21";#N/A,#N/A,FALSE,"27";#N/A,#N/A,FALSE,"28";#N/A,#N/A,FALSE,"29";#N/A,#N/A,FALSE,"StatSupp";#N/A,#N/A,FALSE,"30";#N/A,#N/A,FALSE,"31";#N/A,#N/A,FALSE,"32";#N/A,#N/A,FALSE,"33";#N/A,#N/A,FALSE,"Checklist";#N/A,#N/A,FALSE,"Error track"}</definedName>
    <definedName name="TÉCNICOS">#REF!</definedName>
    <definedName name="test" hidden="1">{"Without projections",#N/A,FALSE,"Slide1";"Without",#N/A,FALSE,"Slide2";"Without projections",#N/A,FALSE,"Slide4";"Without",#N/A,FALSE,"Slide5";"without",#N/A,FALSE,"Slide6";"without",#N/A,FALSE,"Slide7";"Without",#N/A,FALSE,"Slide8";"Without",#N/A,FALSE,"Slide9";"Without",#N/A,FALSE,"Slide10";"Without",#N/A,FALSE,"Slide11";"Without",#N/A,FALSE,"Slide12";#N/A,#N/A,FALSE,"Slide15";#N/A,#N/A,FALSE,"Slide17";#N/A,#N/A,FALSE,"Slide16";#N/A,#N/A,FALSE,"Slide18"}</definedName>
    <definedName name="TEST0">#REF!</definedName>
    <definedName name="TEST1">#REF!</definedName>
    <definedName name="TEST2">#REF!</definedName>
    <definedName name="TESTHKEY">#REF!</definedName>
    <definedName name="TESTKEYS">#REF!</definedName>
    <definedName name="TESTVKEY">#REF!</definedName>
    <definedName name="Thermalu">#REF!</definedName>
    <definedName name="TR" hidden="1">{#N/A,#N/A,FALSE,"PERSONAL"}</definedName>
    <definedName name="TrabajosEfectuar_Gen">#REF!</definedName>
    <definedName name="treeList" hidden="1">"00100000000000000000000000000000000000000000000000000000000000000000000000000000000000000000000000000000000000000000000000000000000000000000000000000000000000000000000000000000000000000000000000000000"</definedName>
    <definedName name="treeList_1" hidden="1">"00100000000000000000000000000000000000000000000000000000000000000000000000000000000000000000000000000000000000000000000000000000000000000000000000000000000000000000000000000000000000000000000000000000"</definedName>
    <definedName name="TYTY" hidden="1">{#N/A,#N/A,FALSE,"PERSONAL"}</definedName>
    <definedName name="ü" hidden="1">1/EUReXToDEM</definedName>
    <definedName name="UYYUYU" hidden="1">{#N/A,#N/A,FALSE,"PERSONAL"}</definedName>
    <definedName name="Ventanilla">#REF!</definedName>
    <definedName name="Ventas_Contratos">#REF!</definedName>
    <definedName name="Ventas_NoR">#REF!</definedName>
    <definedName name="VHGF" hidden="1">{#N/A,#N/A,FALSE,"PERSONAL"}</definedName>
    <definedName name="vv">#REF!</definedName>
    <definedName name="vvvvvv" hidden="1">{#N/A,#N/A,FALSE,"Costos Productos 6A";#N/A,#N/A,FALSE,"Costo Unitario Total H-94-12"}</definedName>
    <definedName name="wacc" hidden="1">{#N/A,#N/A,FALSE,"SOACHA"}</definedName>
    <definedName name="we" hidden="1">#REF!</definedName>
    <definedName name="WindSolaru">#REF!</definedName>
    <definedName name="WQ" hidden="1">{#N/A,#N/A,FALSE,"PERSONAL"}</definedName>
    <definedName name="WQW" hidden="1">{#N/A,#N/A,FALSE,"PERSONAL"}</definedName>
    <definedName name="wrn.All." hidden="1">{#N/A,#N/A,FALSE,"Fact Sheet Table 1";#N/A,#N/A,FALSE,"Budget &amp; Plan Goals Table 2";#N/A,#N/A,FALSE,"2001 OL vs 2002 Budget Table 3";#N/A,#N/A,FALSE,"2001 OL vs 2002 Budget Table 3A";#N/A,#N/A,FALSE,"Risks &amp; Ops Table 4";#N/A,#N/A,FALSE,"Value Build-Up By Layer Table 5";#N/A,#N/A,FALSE,"Production &amp; Reserve Table 6A";#N/A,#N/A,FALSE,"Production &amp; Reserve Table 6B";#N/A,#N/A,FALSE,"Development Projects Table 7";#N/A,#N/A,FALSE,"Development Projects Table 7A";#N/A,#N/A,FALSE,"Exploration Inventory Table 8";#N/A,#N/A,FALSE,"2002 Capital Summary Table 9";#N/A,#N/A,FALSE,"Cost center, SG&amp;A Table 10";#N/A,#N/A,FALSE,"Outstanding AFEs Table 11 ";#N/A,#N/A,FALSE,"Table 12 PAFEA";#N/A,#N/A,FALSE,"Table 12 PAFEB";#N/A,#N/A,FALSE,"Reference Formats";#N/A,#N/A,FALSE,"Program AFE PAGE1";#N/A,#N/A,FALSE,"Program AFE PAGE 2";#N/A,#N/A,FALSE,"Program AFE PAGE3";#N/A,#N/A,FALSE,"PostAuditA";#N/A,#N/A,FALSE,"PostAuditB"}</definedName>
    <definedName name="wrn.Analyst._.Pack._.only." hidden="1">{#N/A,#N/A,FALSE,"Cover";#N/A,#N/A,FALSE,"Contents";#N/A,#N/A,FALSE,"8";#N/A,#N/A,FALSE,"9";#N/A,#N/A,FALSE,"10";#N/A,#N/A,FALSE,"11";#N/A,#N/A,FALSE,"12";#N/A,#N/A,FALSE,"13";#N/A,#N/A,FALSE,"14";#N/A,#N/A,FALSE,"15";#N/A,#N/A,FALSE,"16";#N/A,#N/A,FALSE,"17";#N/A,#N/A,FALSE,"18";#N/A,#N/A,FALSE,"19";#N/A,#N/A,FALSE,"20";#N/A,#N/A,FALSE,"21";#N/A,#N/A,FALSE,"27";#N/A,#N/A,FALSE,"28";#N/A,#N/A,FALSE,"29";#N/A,#N/A,FALSE,"StatSupp";#N/A,#N/A,FALSE,"30";#N/A,#N/A,FALSE,"31";#N/A,#N/A,FALSE,"32";#N/A,#N/A,FALSE,"33";#N/A,#N/A,FALSE,"Checklist";#N/A,#N/A,FALSE,"Error track"}</definedName>
    <definedName name="wrn.ANEXO1." hidden="1">{#N/A,#N/A,FALSE,"Costos Contables CIB A 12 1994";#N/A,#N/A,FALSE,"Cuadre Contab. y C. OP"}</definedName>
    <definedName name="wrn.anexo5." hidden="1">{#N/A,#N/A,FALSE,"CIBHA05A";#N/A,#N/A,FALSE,"CIBHA05B"}</definedName>
    <definedName name="wrn.anexo6." hidden="1">{#N/A,#N/A,FALSE,"Costos Productos 6A";#N/A,#N/A,FALSE,"Costo Unitario Total H-94-12"}</definedName>
    <definedName name="wrn.CAR." hidden="1">{#N/A,#N/A,FALSE,"a1";#N/A,#N/A,FALSE,"a2";#N/A,#N/A,FALSE,"a3";#N/A,#N/A,FALSE,"a4a";#N/A,#N/A,FALSE,"a4B";#N/A,#N/A,FALSE,"a4C";#N/A,#N/A,FALSE,"a4D";#N/A,#N/A,FALSE,"A5a ";#N/A,#N/A,FALSE,"A5b";#N/A,#N/A,FALSE,"A6A";#N/A,#N/A,FALSE,"A6B";#N/A,#N/A,FALSE,"A6C";#N/A,#N/A,FALSE,"A6D";#N/A,#N/A,FALSE,"INV"}</definedName>
    <definedName name="wrn.CIB." hidden="1">{#N/A,#N/A,FALSE,"A1";#N/A,#N/A,FALSE,"A2";#N/A,#N/A,FALSE,"A3";#N/A,#N/A,FALSE,"A4";#N/A,#N/A,FALSE,"a4a";#N/A,#N/A,FALSE,"a4B";#N/A,#N/A,FALSE,"a4C";#N/A,#N/A,FALSE,"A5A";#N/A,#N/A,FALSE,"A5B";#N/A,#N/A,FALSE,"F1F2";#N/A,#N/A,FALSE,"MP";#N/A,#N/A,FALSE,"MP A PCTOS";#N/A,#N/A,FALSE,"A6A";#N/A,#N/A,FALSE,"A6C";#N/A,#N/A,FALSE,"REND";"CRUDOS",#N/A,FALSE,"INVENTARIO";"PRODUCTOS",#N/A,FALSE,"INVENTARIO"}</definedName>
    <definedName name="wrn.civil._.works." hidden="1">{#N/A,#N/A,TRUE,"1842CWN0"}</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Druck." hidden="1">{#N/A,#N/A,FALSE,"Inhalt";#N/A,#N/A,FALSE,"Summary";#N/A,#N/A,FALSE,"BASF-Gruppe"}</definedName>
    <definedName name="wrn.External._.slides." hidden="1">{"Without projections",#N/A,FALSE,"Slide1";"Without",#N/A,FALSE,"Slide2";"Without projections",#N/A,FALSE,"Slide4";"Without",#N/A,FALSE,"Slide5";"without",#N/A,FALSE,"Slide6";"without",#N/A,FALSE,"Slide7";"Without",#N/A,FALSE,"Slide8";"Without",#N/A,FALSE,"Slide9";"Without",#N/A,FALSE,"Slide10";"Without",#N/A,FALSE,"Slide11";"Without",#N/A,FALSE,"Slide12";#N/A,#N/A,FALSE,"Slide15";#N/A,#N/A,FALSE,"Slide17";#N/A,#N/A,FALSE,"Slide16";#N/A,#N/A,FALSE,"Slide18"}</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GERENCIA." hidden="1">{#N/A,#N/A,TRUE,"INGENIERIA";#N/A,#N/A,TRUE,"COMPRAS";#N/A,#N/A,TRUE,"DIRECCION";#N/A,#N/A,TRUE,"RESUMEN"}</definedName>
    <definedName name="wrn.GF._.Tweak." hidden="1">{#N/A,#N/A,FALSE,"Tweak cover";#N/A,#N/A,FALSE,"Tweak-non tech";#N/A,#N/A,FALSE,"Tweak-Op earn";#N/A,#N/A,FALSE,"Tweak- Bal sheet";#N/A,#N/A,FALSE,"Tweak-Terr LTB";#N/A,#N/A,FALSE,"Tweak-Terr GB";#N/A,#N/A,FALSE,"Tweak-Tax &amp; EPS"}</definedName>
    <definedName name="wrn.INF_DIARIO." hidden="1">{#N/A,#N/A,FALSE,"PERSONAL"}</definedName>
    <definedName name="wrn.INFOCIB." hidden="1">{#N/A,#N/A,FALSE,"VOL695";#N/A,#N/A,FALSE,"anexo1";#N/A,#N/A,FALSE,"anexo2";#N/A,#N/A,FALSE,"anexo3";#N/A,#N/A,FALSE,"anexo4";#N/A,#N/A,FALSE,"anexo5a";#N/A,#N/A,FALSE,"anexo5b";#N/A,#N/A,FALSE,"anexo6a";#N/A,#N/A,FALSE,"anexo6a";#N/A,#N/A,FALSE,"anexo6c";#N/A,#N/A,FALSE,"anexo7a";#N/A,#N/A,FALSE,"anexo7b";#N/A,#N/A,FALSE,"anexo7c"}</definedName>
    <definedName name="wrn.MONTHLY._.REPORT." hidden="1">{#N/A,#N/A,FALSE,"FRONT";#N/A,#N/A,FALSE,"TOTAL";#N/A,#N/A,FALSE,"ADMIN EXPL Dept.";#N/A,#N/A,FALSE,"ANAexpl.V";#N/A,#N/A,FALSE,"ANA expl. H";#N/A,#N/A,FALSE,"ANAdev. V.";#N/A,#N/A,FALSE,"ANA dev. H.";#N/A,#N/A,FALSE,"BHP V";#N/A,#N/A,FALSE,"BHP H.";#N/A,#N/A,FALSE,"OMAN V.";#N/A,#N/A,FALSE,"OMAN H.";#N/A,#N/A,FALSE,"MARATUA V.";#N/A,#N/A,FALSE,"MARATUA H.";#N/A,#N/A,FALSE,"KARANG V.";#N/A,#N/A,FALSE,"KARANG H";#N/A,#N/A,FALSE,"HORNGRABEN V";#N/A,#N/A,FALSE,"HORNGRABEN H";#N/A,#N/A,FALSE,"DOK;UK";#N/A,#N/A,FALSE,"FAROE ISLANDS"}</definedName>
    <definedName name="wrn.PRODUCCION._.SOACHA." hidden="1">{#N/A,#N/A,FALSE,"SOACHA"}</definedName>
    <definedName name="wrn.PRU_1." hidden="1">{#N/A,#N/A,FALSE,"PERSONAL"}</definedName>
    <definedName name="wrn.RPT1." hidden="1">{"RPT1",#N/A,FALSE,"OIC650A"}</definedName>
    <definedName name="wrn.RPT610." hidden="1">{"RPT610",#N/A,FALSE,"Sheet1"}</definedName>
    <definedName name="wrn.semanal." localSheetId="0" hidden="1">{#N/A,#N/A,FALSE,"Descargas";#N/A,#N/A,FALSE,"Mantto";#N/A,#N/A,FALSE,"Sabado";#N/A,#N/A,FALSE,"Domingo";#N/A,#N/A,FALSE,"Lunes";#N/A,#N/A,FALSE,"Martes";#N/A,#N/A,FALSE,"Miercoles";#N/A,#N/A,FALSE,"Jueves";#N/A,#N/A,FALSE,"Viernes"}</definedName>
    <definedName name="wrn.semanal." hidden="1">{#N/A,#N/A,FALSE,"Descargas";#N/A,#N/A,FALSE,"Mantto";#N/A,#N/A,FALSE,"Sabado";#N/A,#N/A,FALSE,"Domingo";#N/A,#N/A,FALSE,"Lunes";#N/A,#N/A,FALSE,"Martes";#N/A,#N/A,FALSE,"Miercoles";#N/A,#N/A,FALSE,"Jueves";#N/A,#N/A,FALSE,"Viernes"}</definedName>
    <definedName name="wrn.Slides._.with._.1998._.proj." hidden="1">{"With projections",#N/A,FALSE,"Slide1";"With projections",#N/A,FALSE,"Slide2";"With projections",#N/A,FALSE,"Slide4";"With proj",#N/A,FALSE,"Slide5";"With proj",#N/A,FALSE,"Slide6";"With proj",#N/A,FALSE,"Slide7";"With proj",#N/A,FALSE,"Slide8";"With proj",#N/A,FALSE,"Slide9";"With proj",#N/A,FALSE,"Slide10";"With proj",#N/A,FALSE,"Slide11";"With proj",#N/A,FALSE,"Slide12";#N/A,#N/A,FALSE,"Slide15";#N/A,#N/A,FALSE,"Slide16";#N/A,#N/A,FALSE,"Slide17";#N/A,#N/A,FALSE,"Slide18"}</definedName>
    <definedName name="wrn.SOACHA." hidden="1">{#N/A,#N/A,FALSE,"SOACHA"}</definedName>
    <definedName name="wrn.SUP._.1." hidden="1">{#N/A,#N/A,FALSE,"PERSONAL"}</definedName>
    <definedName name="wrn.SUPER." hidden="1">{#N/A,#N/A,FALSE,"PERSONAL"}</definedName>
    <definedName name="wrn.TEST610." hidden="1">{"TEST610",#N/A,FALSE,"Sheet1"}</definedName>
    <definedName name="wrn.TEST611." hidden="1">{"TEST611",#N/A,FALSE,"Sheet1"}</definedName>
    <definedName name="wrn.Tweaker._.adjustments." hidden="1">{#N/A,#N/A,FALSE,"Tweaker adj cover";#N/A,#N/A,FALSE,"Adj-non tech";#N/A,#N/A,FALSE,"Adj-Op earn";#N/A,#N/A,FALSE,"Adj-Bal sheet";#N/A,#N/A,FALSE,"Adj-Terr LTB";#N/A,#N/A,FALSE,"Adj-Terr GB";#N/A,#N/A,FALSE,"Adj-tax &amp;eps"}</definedName>
    <definedName name="wrn.Vorratsbericht." hidden="1">{#N/A,#N/A,FALSE,"VB_S1";#N/A,#N/A,FALSE,"VB_S2";#N/A,#N/A,FALSE,"VB_S3";#N/A,#N/A,FALSE,"VB_S4";#N/A,#N/A,FALSE,"VB_S5"}</definedName>
    <definedName name="wwn.infocib" hidden="1">{#N/A,#N/A,FALSE,"VOL695";#N/A,#N/A,FALSE,"anexo1";#N/A,#N/A,FALSE,"anexo2";#N/A,#N/A,FALSE,"anexo3";#N/A,#N/A,FALSE,"anexo4";#N/A,#N/A,FALSE,"anexo5a";#N/A,#N/A,FALSE,"anexo5b";#N/A,#N/A,FALSE,"anexo6a";#N/A,#N/A,FALSE,"anexo6a";#N/A,#N/A,FALSE,"anexo6c";#N/A,#N/A,FALSE,"anexo7a";#N/A,#N/A,FALSE,"anexo7b";#N/A,#N/A,FALSE,"anexo7c"}</definedName>
    <definedName name="x" localSheetId="0" hidden="1">{#N/A,#N/A,FALSE,"Descargas";#N/A,#N/A,FALSE,"Mantto";#N/A,#N/A,FALSE,"Sabado";#N/A,#N/A,FALSE,"Domingo";#N/A,#N/A,FALSE,"Lunes";#N/A,#N/A,FALSE,"Martes";#N/A,#N/A,FALSE,"Miercoles";#N/A,#N/A,FALSE,"Jueves";#N/A,#N/A,FALSE,"Viernes"}</definedName>
    <definedName name="x" hidden="1">{#N/A,#N/A,FALSE,"Descargas";#N/A,#N/A,FALSE,"Mantto";#N/A,#N/A,FALSE,"Sabado";#N/A,#N/A,FALSE,"Domingo";#N/A,#N/A,FALSE,"Lunes";#N/A,#N/A,FALSE,"Martes";#N/A,#N/A,FALSE,"Miercoles";#N/A,#N/A,FALSE,"Jueves";#N/A,#N/A,FALSE,"Viernes"}</definedName>
    <definedName name="XSW" hidden="1">{#N/A,#N/A,TRUE,"1842CWN0"}</definedName>
    <definedName name="xx">#REF!</definedName>
    <definedName name="xxx">#REF!</definedName>
    <definedName name="xxxx">#REF!</definedName>
    <definedName name="xxxxx" hidden="1">{#N/A,#N/A,FALSE,"VOL695";#N/A,#N/A,FALSE,"anexo1";#N/A,#N/A,FALSE,"anexo2";#N/A,#N/A,FALSE,"anexo3";#N/A,#N/A,FALSE,"anexo4";#N/A,#N/A,FALSE,"anexo5a";#N/A,#N/A,FALSE,"anexo5b";#N/A,#N/A,FALSE,"anexo6a";#N/A,#N/A,FALSE,"anexo6a";#N/A,#N/A,FALSE,"anexo6c";#N/A,#N/A,FALSE,"anexo7a";#N/A,#N/A,FALSE,"anexo7b";#N/A,#N/A,FALSE,"anexo7c"}</definedName>
    <definedName name="XXXXXXXX" hidden="1">#REF!</definedName>
    <definedName name="XXXXXXXXXXXXXXXX" hidden="1">#REF!</definedName>
    <definedName name="XZS" hidden="1">#REF!</definedName>
    <definedName name="yana"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YUTREFSF" hidden="1">{#N/A,#N/A,FALSE,"PERSONAL"}</definedName>
    <definedName name="yyyyy" hidden="1">{#N/A,#N/A,FALSE,"Costos Productos 6A";#N/A,#N/A,FALSE,"Costo Unitario Total H-94-12"}</definedName>
    <definedName name="ZAQ" hidden="1">{#N/A,#N/A,TRUE,"INGENIERIA";#N/A,#N/A,TRUE,"COMPRAS";#N/A,#N/A,TRUE,"DIRECCION";#N/A,#N/A,TRUE,"RESUMEN"}</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8" i="10" l="1"/>
  <c r="Y8" i="10" s="1"/>
  <c r="Z8" i="10" s="1"/>
  <c r="AA8" i="10" s="1"/>
  <c r="AB8" i="10" s="1"/>
  <c r="AC8" i="10" s="1"/>
  <c r="C5" i="10" s="1"/>
  <c r="C6" i="10"/>
</calcChain>
</file>

<file path=xl/sharedStrings.xml><?xml version="1.0" encoding="utf-8"?>
<sst xmlns="http://schemas.openxmlformats.org/spreadsheetml/2006/main" count="101" uniqueCount="83">
  <si>
    <t>N°OT / GRAFO</t>
  </si>
  <si>
    <t>CENTRAL</t>
  </si>
  <si>
    <t>GRUPO</t>
  </si>
  <si>
    <t xml:space="preserve">SISTEMA </t>
  </si>
  <si>
    <t>SUB SISTEMA/EQUIPO</t>
  </si>
  <si>
    <t xml:space="preserve">COD PM / AVISO </t>
  </si>
  <si>
    <t>N° PEDIDO</t>
  </si>
  <si>
    <t>MOTIVO</t>
  </si>
  <si>
    <t>TIPO MANT</t>
  </si>
  <si>
    <t>CONDICION</t>
  </si>
  <si>
    <t>RIESGO CRITICO</t>
  </si>
  <si>
    <t>AREA SOLICITANTE</t>
  </si>
  <si>
    <t xml:space="preserve">INSPECTOR </t>
  </si>
  <si>
    <t>RT TERCEROS</t>
  </si>
  <si>
    <t>Recursos</t>
  </si>
  <si>
    <t>HORA INICIO</t>
  </si>
  <si>
    <t>HORA FIN</t>
  </si>
  <si>
    <t>DIAS</t>
  </si>
  <si>
    <t>Inicio</t>
  </si>
  <si>
    <t>Fin</t>
  </si>
  <si>
    <t>PREV</t>
  </si>
  <si>
    <t>X</t>
  </si>
  <si>
    <t>F/S</t>
  </si>
  <si>
    <t>N/A</t>
  </si>
  <si>
    <t xml:space="preserve"> </t>
  </si>
  <si>
    <t>F.MT.OA 006                           Rev: 01                                   Programa de Mantenimiento Semanal  (PMS)</t>
  </si>
  <si>
    <t>SEMANA</t>
  </si>
  <si>
    <t>MANTENIMIENTO CENTRALES TERMICAS (C.T. SANTA ROSA)</t>
  </si>
  <si>
    <t>NUEVA COLUMNA</t>
  </si>
  <si>
    <t>RIESGOS DE INTERFERENCIA (EXISTENTE + INTRODUCIDO)</t>
  </si>
  <si>
    <t>Sábado</t>
  </si>
  <si>
    <t>Domingo</t>
  </si>
  <si>
    <t>Lunes</t>
  </si>
  <si>
    <t>Martes</t>
  </si>
  <si>
    <t>Miércoles</t>
  </si>
  <si>
    <t>Jueves</t>
  </si>
  <si>
    <t>Viernes</t>
  </si>
  <si>
    <t>EMPRESA</t>
  </si>
  <si>
    <t>CODIGO DE ACTIVIDAD</t>
  </si>
  <si>
    <t>TEXTO EXPLICATIVO</t>
  </si>
  <si>
    <t>PRECIO DE LA ACTIVIDAD</t>
  </si>
  <si>
    <t>RIESGO</t>
  </si>
  <si>
    <t>CONTROL DE SEGURIDAD</t>
  </si>
  <si>
    <t>RIESGO AMBIENTAL</t>
  </si>
  <si>
    <t>CONTROLES AMBIENTALES</t>
  </si>
  <si>
    <t>Control de calidad</t>
  </si>
  <si>
    <t>Criterios de evaluación</t>
  </si>
  <si>
    <t>RIESGO EXISTENTE (A REGISTRAR POR CONTRATISTA Y ORYGEN)</t>
  </si>
  <si>
    <t>RIESGO INTRODUCIDO A TERCEROS (A REGISTRAR POR EL CONTRATISTA O EJECUTOR)</t>
  </si>
  <si>
    <t>MEDIDA DE CONTROL PARA RIESGO A TERCERO</t>
  </si>
  <si>
    <t>OBSERVACION</t>
  </si>
  <si>
    <t xml:space="preserve">Precio de la actividad </t>
  </si>
  <si>
    <t>Codigo de actividad 2</t>
  </si>
  <si>
    <t xml:space="preserve">Cantidad </t>
  </si>
  <si>
    <t>Columna1</t>
  </si>
  <si>
    <t>MANTENIMIENTO</t>
  </si>
  <si>
    <t>MAGNEX</t>
  </si>
  <si>
    <t xml:space="preserve">1.- Generación de residuos peligrosos y no peligrosos.
</t>
  </si>
  <si>
    <t xml:space="preserve">1.- Segregación  y disposición de residuos peligrosos y no peligrosos en los contenedores establecidos, uso de kit antiderrame, bandeja de contencion 
</t>
  </si>
  <si>
    <t>Contacto con energía /  Caidas al mismo nivel y a desnivel por estructuras</t>
  </si>
  <si>
    <t xml:space="preserve">1. Caída al mismo nivel (por material, herramientas, equipos, cables, otros en área de trabajo)  
2. Interferencia en el area por trabajos  de otros contratistas  </t>
  </si>
  <si>
    <t>1. Orden y limpieza del area de trabajo
Delimitar y señalizar la zona de trabajo
2. Evitar simultanedad  en el area y priorizar  el trabajo critico con coordinacion del supervisor a cargo.</t>
  </si>
  <si>
    <t>TG5</t>
  </si>
  <si>
    <t>2P3H</t>
  </si>
  <si>
    <t>INSTALACION DE SWITCH DIFERENCIAL DIESEL</t>
  </si>
  <si>
    <t xml:space="preserve">1. Aplicacion obligatoria Bloqueo y señalización mediante procedimiento, LOTO y regla de oro 5RO asegurando la eliminacion de todas la fuentes de energia  residuales antes de intervenir.Solo personal entrenado y capacitado. se tendra supervision permanente,  Revision de bloqueos segun PT.
2. Inspección previa de herramientas manuales verificando su integridad y funcionalidad, encintado de inspección de herramientas, manipulación adecuada de las herramientas aisladas, personal capacitado.
3. Inspección de herramienta / Prohibido el uso de herramientas hechizas o improvisadas  / uso de EPPs. en todo momento de la tarea.
4. Inspeccionar  la zona de trabajo / Mantener orden y limpieza / delimitar zona de trabajo, no uso de celulares mientras transitan, tecnica  7A, uso de pasamanos en todo momento para reducir el riesgo de resbalones y tropiezos.
5. Mantener posturas ergonómicas correctas / realizar pausas de trabajo. Para cargas no levantar pesos mayores en varones 25kg , mujeres 15kg.o distribuir la carga entre el  personal , uso de rodilleras para trabajos a nivel bajo.
6. Uso de ropa cubierta / uso de bloqueador solar, pausa de trabajo en zonas sombreadas
7.  Inspeccionar área de trabajo para identificar estructuras sobresalientes o filosas, proteccion de áreas con partes sobresalientes o filosas mediantes señalizacion temporal, reportar inmediatamente condiciones inseguras en appYO REPORTO
8.  Respeto las vías peatonales establecidas , mantener comunicacion visual con equipos moviles, uso de overol con cintas reflectivas.
9. Usar permanente mente proteccion auditiva, tapones y orejeras, durante puesta en marcha o pruebas operativas
</t>
  </si>
  <si>
    <t>CT SANTA ROSA</t>
  </si>
  <si>
    <t>SISTEMA DE COMBUSTIBLE</t>
  </si>
  <si>
    <t>COMBUSTIBLE</t>
  </si>
  <si>
    <t>MANTENIMIENTO ANUAL DE INSTRUMENTOS SISTEMA DIESEL</t>
  </si>
  <si>
    <t>PERCY GARCÍA</t>
  </si>
  <si>
    <t>GILMAR LEON</t>
  </si>
  <si>
    <t>PWEASDAD8323</t>
  </si>
  <si>
    <t xml:space="preserve">1. Contacto directo o indirecto con energias peligrosas (Energia  electrica) 
2. Exposicion a Golpes, cortes o atrapamientos en manos y extremidades superiores por uso de herramientas manuales.
3. Golpeado por / cortado por, impacto, contusion o cortes debido a manipulacion de herramientas en tarea.
5. Caida al mismo nivel , posibilidad de resbalones, tropiezos por superficies irregulareso desorden en el area de trabajo.
6. Riesgo disergonómico por posturas forzadas/ sobreesfuerzo, movimientos repetitivos durante la inspeccion o ejecucion de tarea.
7. Exposición prolongada a radiación solar directa.
8. Exposicion a estructuras sobresalientes, golpes en cabeza o cuerpo debido a espacios reducidos, visibilidad limitada.
9. Atropello o colision por interaccion con vehiculos o equipos moviles
10. Exposicion a niveles elavados de Ruido generados por equipos o pruebas operativas
</t>
  </si>
  <si>
    <t>TG7</t>
  </si>
  <si>
    <t>GENERADOR</t>
  </si>
  <si>
    <t>EXCITATRIZ</t>
  </si>
  <si>
    <t>PRUEBAS ELÉCTRICAS GENERADOR</t>
  </si>
  <si>
    <t>MANUEL CASTILLO</t>
  </si>
  <si>
    <t>ENRIQUE TORRES</t>
  </si>
  <si>
    <t>2P8H</t>
  </si>
  <si>
    <t>T&amp;D ELECTRIC</t>
  </si>
  <si>
    <t>PRUEBAS ELECTRICAS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</si>
</sst>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S/&quot;\ * #,##0.00_-;\-&quot;S/&quot;\ * #,##0.00_-;_-&quot;S/&quot;\ * &quot;-&quot;??_-;_-@_-"/>
    <numFmt numFmtId="43" formatCode="_-* #,##0.00_-;\-* #,##0.00_-;_-* &quot;-&quot;??_-;_-@_-"/>
    <numFmt numFmtId="164" formatCode="[$-C0A]d\-mmm;@"/>
    <numFmt numFmtId="165" formatCode="h:mm;@"/>
  </numFmts>
  <fonts count="20"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b/>
      <sz val="10"/>
      <color theme="0"/>
      <name val="Arial"/>
      <family val="2"/>
    </font>
    <font>
      <b/>
      <sz val="12"/>
      <color theme="0"/>
      <name val="Calibri"/>
      <family val="2"/>
      <scheme val="minor"/>
    </font>
    <font>
      <sz val="12"/>
      <name val="Calibri"/>
      <family val="2"/>
      <scheme val="minor"/>
    </font>
    <font>
      <sz val="12"/>
      <color theme="1"/>
      <name val="Calibri"/>
      <family val="2"/>
      <scheme val="minor"/>
    </font>
    <font>
      <sz val="10"/>
      <name val="Arial"/>
      <family val="2"/>
    </font>
    <font>
      <sz val="10"/>
      <color theme="1"/>
      <name val="Arial"/>
      <family val="2"/>
    </font>
    <font>
      <sz val="12"/>
      <color theme="1"/>
      <name val="Trebuchet MS"/>
      <family val="2"/>
    </font>
    <font>
      <sz val="8"/>
      <name val="Calibri"/>
      <family val="2"/>
      <scheme val="minor"/>
    </font>
    <font>
      <sz val="12"/>
      <color theme="1"/>
      <name val="Arial"/>
      <family val="2"/>
    </font>
    <font>
      <sz val="11"/>
      <color rgb="FF002060"/>
      <name val="Calibri"/>
      <family val="2"/>
      <scheme val="minor"/>
    </font>
    <font>
      <sz val="12"/>
      <color theme="1"/>
      <name val="Calibri"/>
      <family val="2"/>
    </font>
    <font>
      <b/>
      <sz val="12"/>
      <color rgb="FF002060"/>
      <name val="Calibri"/>
      <family val="2"/>
      <scheme val="minor"/>
    </font>
    <font>
      <b/>
      <sz val="12"/>
      <color theme="1"/>
      <name val="Calibri"/>
      <family val="2"/>
    </font>
  </fonts>
  <fills count="15">
    <fill>
      <patternFill patternType="none"/>
    </fill>
    <fill>
      <patternFill patternType="gray125"/>
    </fill>
    <fill>
      <patternFill patternType="solid">
        <fgColor theme="8" tint="-0.249977111117893"/>
        <bgColor indexed="64"/>
      </patternFill>
    </fill>
    <fill>
      <patternFill patternType="solid">
        <fgColor theme="5" tint="-0.249977111117893"/>
        <bgColor indexed="64"/>
      </patternFill>
    </fill>
    <fill>
      <patternFill patternType="solid">
        <fgColor rgb="FF00B050"/>
        <bgColor indexed="64"/>
      </patternFill>
    </fill>
    <fill>
      <patternFill patternType="solid">
        <fgColor rgb="FFF4B084"/>
        <bgColor indexed="64"/>
      </patternFill>
    </fill>
    <fill>
      <patternFill patternType="solid">
        <fgColor rgb="FFFF0000"/>
        <bgColor indexed="64"/>
      </patternFill>
    </fill>
    <fill>
      <patternFill patternType="solid">
        <fgColor rgb="FF333F4F"/>
        <bgColor indexed="64"/>
      </patternFill>
    </fill>
    <fill>
      <patternFill patternType="solid">
        <fgColor rgb="FF00FFFF"/>
        <bgColor indexed="64"/>
      </patternFill>
    </fill>
    <fill>
      <patternFill patternType="solid">
        <fgColor rgb="FFFFFF00"/>
        <bgColor indexed="64"/>
      </patternFill>
    </fill>
    <fill>
      <patternFill patternType="solid">
        <fgColor theme="8" tint="0.39997558519241921"/>
        <bgColor indexed="64"/>
      </patternFill>
    </fill>
    <fill>
      <patternFill patternType="solid">
        <fgColor rgb="FF0070C0"/>
        <bgColor indexed="64"/>
      </patternFill>
    </fill>
    <fill>
      <patternFill patternType="solid">
        <fgColor rgb="FFFFFF66"/>
        <bgColor indexed="64"/>
      </patternFill>
    </fill>
    <fill>
      <patternFill patternType="solid">
        <fgColor theme="0"/>
        <bgColor indexed="64"/>
      </patternFill>
    </fill>
    <fill>
      <patternFill patternType="solid">
        <fgColor theme="0" tint="-0.3499862666707357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2">
    <xf numFmtId="0" fontId="0"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3" fillId="0" borderId="0" applyFont="0" applyFill="0" applyBorder="0" applyAlignment="0" applyProtection="0"/>
    <xf numFmtId="0" fontId="13" fillId="0" borderId="0"/>
    <xf numFmtId="44" fontId="1" fillId="0" borderId="0" applyFont="0" applyFill="0" applyBorder="0" applyAlignment="0" applyProtection="0"/>
    <xf numFmtId="0" fontId="1" fillId="0" borderId="0"/>
    <xf numFmtId="0" fontId="1" fillId="0" borderId="0"/>
    <xf numFmtId="0" fontId="1" fillId="0" borderId="0"/>
    <xf numFmtId="0" fontId="11" fillId="0" borderId="0"/>
  </cellStyleXfs>
  <cellXfs count="67">
    <xf numFmtId="0" fontId="0" fillId="0" borderId="0" xfId="0"/>
    <xf numFmtId="22" fontId="6" fillId="0" borderId="0" xfId="0" applyNumberFormat="1" applyFont="1" applyAlignment="1">
      <alignment horizontal="center" vertical="center"/>
    </xf>
    <xf numFmtId="0" fontId="5" fillId="0" borderId="0" xfId="0" applyFont="1" applyAlignment="1">
      <alignment horizontal="center"/>
    </xf>
    <xf numFmtId="0" fontId="0" fillId="0" borderId="0" xfId="0" applyAlignment="1">
      <alignment horizontal="center" vertical="center"/>
    </xf>
    <xf numFmtId="0" fontId="4" fillId="0" borderId="0" xfId="0" applyFont="1" applyAlignment="1">
      <alignment horizontal="center" vertical="center"/>
    </xf>
    <xf numFmtId="0" fontId="6" fillId="2" borderId="1" xfId="0" applyFont="1" applyFill="1" applyBorder="1"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6" fillId="3" borderId="1" xfId="0" applyFont="1" applyFill="1" applyBorder="1" applyAlignment="1">
      <alignment horizontal="center" vertical="center"/>
    </xf>
    <xf numFmtId="0" fontId="5" fillId="0" borderId="0" xfId="0" applyFont="1" applyAlignment="1">
      <alignment horizontal="center" vertical="center"/>
    </xf>
    <xf numFmtId="0" fontId="2" fillId="4" borderId="0" xfId="0" applyFont="1" applyFill="1" applyAlignment="1">
      <alignment horizontal="center" vertical="center" wrapText="1"/>
    </xf>
    <xf numFmtId="164" fontId="6" fillId="7" borderId="1" xfId="0" applyNumberFormat="1" applyFont="1" applyFill="1" applyBorder="1" applyAlignment="1">
      <alignment horizontal="center" vertical="center"/>
    </xf>
    <xf numFmtId="164" fontId="8" fillId="7" borderId="2" xfId="0" applyNumberFormat="1" applyFont="1" applyFill="1" applyBorder="1" applyAlignment="1">
      <alignment horizontal="center" vertical="center"/>
    </xf>
    <xf numFmtId="0" fontId="3" fillId="0" borderId="0" xfId="0" applyFont="1" applyAlignment="1">
      <alignment horizontal="center"/>
    </xf>
    <xf numFmtId="2" fontId="0" fillId="0" borderId="0" xfId="0" applyNumberFormat="1"/>
    <xf numFmtId="2" fontId="0" fillId="0" borderId="0" xfId="0" applyNumberFormat="1" applyAlignment="1">
      <alignment horizontal="center" vertical="center"/>
    </xf>
    <xf numFmtId="0" fontId="5" fillId="0" borderId="0" xfId="0" applyFont="1"/>
    <xf numFmtId="0" fontId="15" fillId="13" borderId="1" xfId="0" applyFont="1" applyFill="1" applyBorder="1" applyAlignment="1">
      <alignment horizontal="left" vertical="top" wrapText="1"/>
    </xf>
    <xf numFmtId="0" fontId="10" fillId="13" borderId="1" xfId="0" applyFont="1" applyFill="1" applyBorder="1" applyAlignment="1" applyProtection="1">
      <alignment horizontal="center" vertical="center"/>
      <protection hidden="1"/>
    </xf>
    <xf numFmtId="0" fontId="10" fillId="13" borderId="1" xfId="0" applyFont="1" applyFill="1" applyBorder="1" applyAlignment="1">
      <alignment horizontal="center" vertical="center"/>
    </xf>
    <xf numFmtId="0" fontId="10" fillId="13" borderId="1" xfId="0" applyFont="1" applyFill="1" applyBorder="1" applyAlignment="1" applyProtection="1">
      <alignment horizontal="center" vertical="center" wrapText="1"/>
      <protection locked="0"/>
    </xf>
    <xf numFmtId="0" fontId="10" fillId="13" borderId="1" xfId="0" applyFont="1" applyFill="1" applyBorder="1" applyAlignment="1" applyProtection="1">
      <alignment horizontal="center" vertical="center"/>
      <protection locked="0"/>
    </xf>
    <xf numFmtId="0" fontId="9" fillId="13" borderId="4" xfId="0" applyFont="1" applyFill="1" applyBorder="1" applyAlignment="1" applyProtection="1">
      <alignment horizontal="center" vertical="center" wrapText="1"/>
      <protection locked="0"/>
    </xf>
    <xf numFmtId="44" fontId="10" fillId="13" borderId="1" xfId="7" applyFont="1" applyFill="1" applyBorder="1" applyAlignment="1" applyProtection="1">
      <alignment horizontal="center" vertical="center" wrapText="1"/>
      <protection locked="0"/>
    </xf>
    <xf numFmtId="0" fontId="15" fillId="13" borderId="0" xfId="0" applyFont="1" applyFill="1" applyAlignment="1">
      <alignment vertical="top" wrapText="1"/>
    </xf>
    <xf numFmtId="0" fontId="15" fillId="13" borderId="5" xfId="0" applyFont="1" applyFill="1" applyBorder="1" applyAlignment="1">
      <alignment vertical="top" wrapText="1"/>
    </xf>
    <xf numFmtId="0" fontId="16" fillId="0" borderId="0" xfId="0" applyFont="1"/>
    <xf numFmtId="0" fontId="10" fillId="13" borderId="4" xfId="0" applyFont="1" applyFill="1" applyBorder="1" applyAlignment="1" applyProtection="1">
      <alignment horizontal="center" vertical="center"/>
      <protection locked="0"/>
    </xf>
    <xf numFmtId="0" fontId="0" fillId="13" borderId="0" xfId="0" applyFill="1"/>
    <xf numFmtId="0" fontId="0" fillId="14" borderId="0" xfId="0" applyFill="1" applyAlignment="1">
      <alignment horizontal="center" vertical="center"/>
    </xf>
    <xf numFmtId="0" fontId="10" fillId="13" borderId="4" xfId="0" applyFont="1" applyFill="1" applyBorder="1" applyAlignment="1" applyProtection="1">
      <alignment horizontal="center" vertical="center" wrapText="1"/>
      <protection locked="0"/>
    </xf>
    <xf numFmtId="14" fontId="10" fillId="13" borderId="5" xfId="0" applyNumberFormat="1" applyFont="1" applyFill="1" applyBorder="1" applyAlignment="1" applyProtection="1">
      <alignment horizontal="center" vertical="center"/>
      <protection locked="0"/>
    </xf>
    <xf numFmtId="14" fontId="10" fillId="13" borderId="4" xfId="0" applyNumberFormat="1" applyFont="1" applyFill="1" applyBorder="1" applyAlignment="1" applyProtection="1">
      <alignment horizontal="center" vertical="center"/>
      <protection locked="0"/>
    </xf>
    <xf numFmtId="0" fontId="17" fillId="13" borderId="5" xfId="0" applyFont="1" applyFill="1" applyBorder="1" applyAlignment="1" applyProtection="1">
      <alignment horizontal="center" vertical="center" wrapText="1"/>
      <protection locked="0"/>
    </xf>
    <xf numFmtId="0" fontId="18" fillId="10" borderId="2" xfId="0" applyFont="1" applyFill="1" applyBorder="1" applyAlignment="1">
      <alignment horizontal="center" vertical="center"/>
    </xf>
    <xf numFmtId="0" fontId="18" fillId="10" borderId="2" xfId="0" applyFont="1" applyFill="1" applyBorder="1" applyAlignment="1">
      <alignment horizontal="center" vertical="center" wrapText="1"/>
    </xf>
    <xf numFmtId="0" fontId="18" fillId="5" borderId="2" xfId="0" applyFont="1" applyFill="1" applyBorder="1" applyAlignment="1">
      <alignment horizontal="center" vertical="center"/>
    </xf>
    <xf numFmtId="0" fontId="18" fillId="5" borderId="2" xfId="0" applyFont="1" applyFill="1" applyBorder="1" applyAlignment="1">
      <alignment horizontal="center" vertical="center" wrapText="1"/>
    </xf>
    <xf numFmtId="0" fontId="18" fillId="11" borderId="1" xfId="0" applyFont="1" applyFill="1" applyBorder="1" applyAlignment="1" applyProtection="1">
      <alignment horizontal="center" vertical="center"/>
      <protection locked="0"/>
    </xf>
    <xf numFmtId="0" fontId="18" fillId="12" borderId="2" xfId="0" applyFont="1" applyFill="1" applyBorder="1" applyAlignment="1">
      <alignment horizontal="center" vertical="center" wrapText="1"/>
    </xf>
    <xf numFmtId="0" fontId="18" fillId="12" borderId="3" xfId="0" applyFont="1" applyFill="1" applyBorder="1" applyAlignment="1">
      <alignment horizontal="center" vertical="center" wrapText="1"/>
    </xf>
    <xf numFmtId="2" fontId="18" fillId="12" borderId="3" xfId="0" applyNumberFormat="1" applyFont="1" applyFill="1" applyBorder="1" applyAlignment="1">
      <alignment horizontal="center" vertical="center" wrapText="1"/>
    </xf>
    <xf numFmtId="0" fontId="4" fillId="13" borderId="0" xfId="0" applyFont="1" applyFill="1" applyAlignment="1">
      <alignment horizontal="center" vertical="center"/>
    </xf>
    <xf numFmtId="0" fontId="17" fillId="13" borderId="0" xfId="0" applyFont="1" applyFill="1"/>
    <xf numFmtId="2" fontId="17" fillId="13" borderId="0" xfId="0" applyNumberFormat="1" applyFont="1" applyFill="1" applyAlignment="1" applyProtection="1">
      <alignment horizontal="center" vertical="top" wrapText="1"/>
      <protection locked="0"/>
    </xf>
    <xf numFmtId="164" fontId="6" fillId="5" borderId="4" xfId="0" applyNumberFormat="1" applyFont="1" applyFill="1" applyBorder="1" applyAlignment="1">
      <alignment horizontal="center" vertical="center"/>
    </xf>
    <xf numFmtId="164" fontId="6" fillId="6" borderId="4" xfId="0" applyNumberFormat="1" applyFont="1" applyFill="1" applyBorder="1" applyAlignment="1">
      <alignment horizontal="center" vertical="center"/>
    </xf>
    <xf numFmtId="164" fontId="6" fillId="7" borderId="4" xfId="0" applyNumberFormat="1" applyFont="1" applyFill="1" applyBorder="1" applyAlignment="1">
      <alignment horizontal="center" vertical="center"/>
    </xf>
    <xf numFmtId="0" fontId="18" fillId="8" borderId="1" xfId="0" applyFont="1" applyFill="1" applyBorder="1" applyAlignment="1">
      <alignment horizontal="center" vertical="center"/>
    </xf>
    <xf numFmtId="0" fontId="18" fillId="8" borderId="1" xfId="0" applyFont="1" applyFill="1" applyBorder="1" applyAlignment="1">
      <alignment horizontal="center" vertical="center" wrapText="1"/>
    </xf>
    <xf numFmtId="0" fontId="18" fillId="9" borderId="1" xfId="0" applyFont="1" applyFill="1" applyBorder="1" applyAlignment="1">
      <alignment horizontal="center" vertical="center" wrapText="1"/>
    </xf>
    <xf numFmtId="0" fontId="18" fillId="9" borderId="1" xfId="0" applyFont="1" applyFill="1" applyBorder="1" applyAlignment="1">
      <alignment horizontal="center" vertical="center"/>
    </xf>
    <xf numFmtId="0" fontId="8" fillId="7" borderId="1" xfId="0" applyFont="1" applyFill="1" applyBorder="1" applyAlignment="1">
      <alignment horizontal="center" vertical="center"/>
    </xf>
    <xf numFmtId="164" fontId="8" fillId="5" borderId="1" xfId="0" applyNumberFormat="1" applyFont="1" applyFill="1" applyBorder="1" applyAlignment="1">
      <alignment horizontal="center" vertical="center"/>
    </xf>
    <xf numFmtId="164" fontId="8" fillId="6" borderId="1" xfId="0" applyNumberFormat="1" applyFont="1" applyFill="1" applyBorder="1" applyAlignment="1">
      <alignment horizontal="center" vertical="center"/>
    </xf>
    <xf numFmtId="164" fontId="8" fillId="7" borderId="1" xfId="0" applyNumberFormat="1" applyFont="1" applyFill="1" applyBorder="1" applyAlignment="1">
      <alignment horizontal="center" vertical="center"/>
    </xf>
    <xf numFmtId="14" fontId="10" fillId="13" borderId="4" xfId="0" applyNumberFormat="1" applyFont="1" applyFill="1" applyBorder="1" applyAlignment="1" applyProtection="1">
      <alignment horizontal="center" vertical="center" wrapText="1"/>
      <protection locked="0"/>
    </xf>
    <xf numFmtId="165" fontId="10" fillId="13" borderId="4" xfId="0" applyNumberFormat="1" applyFont="1" applyFill="1" applyBorder="1" applyAlignment="1" applyProtection="1">
      <alignment horizontal="center" vertical="center"/>
      <protection locked="0"/>
    </xf>
    <xf numFmtId="14" fontId="10" fillId="13" borderId="4" xfId="0" applyNumberFormat="1" applyFont="1" applyFill="1" applyBorder="1" applyAlignment="1" applyProtection="1">
      <alignment horizontal="center" vertical="center"/>
      <protection hidden="1"/>
    </xf>
    <xf numFmtId="0" fontId="0" fillId="0" borderId="0" xfId="0" applyAlignment="1">
      <alignment horizontal="center" wrapText="1"/>
    </xf>
    <xf numFmtId="0" fontId="12" fillId="13" borderId="4" xfId="0" applyFont="1" applyFill="1" applyBorder="1" applyAlignment="1" applyProtection="1">
      <alignment horizontal="left" vertical="top" wrapText="1"/>
      <protection locked="0"/>
    </xf>
    <xf numFmtId="0" fontId="4" fillId="0" borderId="0" xfId="0" applyFont="1" applyAlignment="1">
      <alignment horizontal="center" vertical="center"/>
    </xf>
    <xf numFmtId="0" fontId="7" fillId="6" borderId="0" xfId="1" applyFont="1" applyFill="1" applyAlignment="1">
      <alignment horizontal="center" vertical="center" wrapText="1"/>
    </xf>
    <xf numFmtId="0" fontId="19" fillId="0" borderId="5" xfId="0" applyNumberFormat="1" applyFont="1" applyFill="1" applyBorder="1" applyAlignment="1" applyProtection="1">
      <alignment horizontal="center" vertical="center" wrapText="1"/>
      <protection locked="0"/>
    </xf>
    <xf numFmtId="0" fontId="19" fillId="0" borderId="4" xfId="0" applyNumberFormat="1" applyFont="1" applyFill="1" applyBorder="1" applyAlignment="1" applyProtection="1">
      <alignment horizontal="center" vertical="center" wrapText="1"/>
      <protection locked="0"/>
    </xf>
    <xf numFmtId="2" fontId="19" fillId="0" borderId="0" xfId="0" applyNumberFormat="1" applyFont="1" applyFill="1" applyBorder="1" applyAlignment="1">
      <alignment horizontal="center" vertical="center" wrapText="1"/>
    </xf>
    <xf numFmtId="0" fontId="19" fillId="0" borderId="0" xfId="0" applyFont="1" applyFill="1" applyBorder="1" applyAlignment="1">
      <alignment horizontal="center" vertical="center" wrapText="1"/>
    </xf>
  </cellXfs>
  <cellStyles count="12">
    <cellStyle name="Millares 10 2" xfId="2" xr:uid="{AF75E584-CB87-41B9-B6C2-2D4C12FD5701}"/>
    <cellStyle name="Millares 13" xfId="4" xr:uid="{0A479557-975C-4E0B-B736-C7256F001C36}"/>
    <cellStyle name="Millares 2" xfId="5" xr:uid="{1FC3DC76-8D89-4F06-8AB6-D97276763497}"/>
    <cellStyle name="Moneda" xfId="7" builtinId="4"/>
    <cellStyle name="Normal" xfId="0" builtinId="0"/>
    <cellStyle name="Normal 14" xfId="3" xr:uid="{5DF339F9-6778-4996-B0A9-B967F213D6C4}"/>
    <cellStyle name="Normal 2" xfId="6" xr:uid="{99BB28BF-C2CD-47F6-9F5A-B811740B7C5C}"/>
    <cellStyle name="Normal 3 2 2 7 4 2" xfId="9" xr:uid="{9DD12D77-4112-4129-9014-D1EE9786FD4A}"/>
    <cellStyle name="Normal 3 2 3 2" xfId="10" xr:uid="{E7D3E806-2B73-401B-9542-30735BF8B186}"/>
    <cellStyle name="Normal 3 3 3 3 3 3 2 3 2 2 2" xfId="8" xr:uid="{BC64E64B-DC27-4071-B9B2-A8BEAC0FD105}"/>
    <cellStyle name="Normal 48" xfId="1" xr:uid="{4A0533ED-0262-4717-830B-64176C3A13C8}"/>
    <cellStyle name="Normal 7" xfId="11" xr:uid="{5D3E339F-73F4-48DF-A4C6-8E3F6EFA652B}"/>
  </cellStyles>
  <dxfs count="116">
    <dxf>
      <fill>
        <patternFill>
          <bgColor rgb="FFFFFF00"/>
        </patternFill>
      </fill>
    </dxf>
    <dxf>
      <fill>
        <patternFill>
          <bgColor rgb="FFFFFF00"/>
        </patternFill>
      </fill>
    </dxf>
    <dxf>
      <fill>
        <patternFill>
          <bgColor rgb="FFFFFF00"/>
        </patternFill>
      </fill>
    </dxf>
    <dxf>
      <fill>
        <patternFill>
          <bgColor rgb="FFFFFF00"/>
        </patternFill>
      </fill>
    </dxf>
    <dxf>
      <font>
        <color theme="0"/>
      </font>
    </dxf>
    <dxf>
      <font>
        <b/>
        <i val="0"/>
        <color theme="0"/>
      </font>
      <fill>
        <patternFill patternType="solid">
          <fgColor auto="1"/>
          <bgColor theme="3"/>
        </patternFill>
      </fill>
    </dxf>
    <dxf>
      <font>
        <color theme="0"/>
      </font>
      <fill>
        <patternFill patternType="solid">
          <fgColor auto="1"/>
          <bgColor theme="3"/>
        </patternFill>
      </fill>
    </dxf>
    <dxf>
      <font>
        <b/>
        <i val="0"/>
        <color theme="0"/>
      </font>
      <fill>
        <patternFill patternType="solid">
          <fgColor auto="1"/>
          <bgColor theme="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theme="0"/>
      </font>
    </dxf>
    <dxf>
      <font>
        <b/>
        <i val="0"/>
        <color theme="0"/>
      </font>
      <fill>
        <patternFill patternType="solid">
          <fgColor auto="1"/>
          <bgColor theme="3"/>
        </patternFill>
      </fill>
    </dxf>
    <dxf>
      <font>
        <color theme="0"/>
      </font>
      <fill>
        <patternFill patternType="solid">
          <fgColor auto="1"/>
          <bgColor theme="3"/>
        </patternFill>
      </fill>
    </dxf>
    <dxf>
      <font>
        <b/>
        <i val="0"/>
        <color theme="0"/>
      </font>
      <fill>
        <patternFill patternType="solid">
          <fgColor auto="1"/>
          <bgColor theme="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fgColor indexed="64"/>
          <bgColor theme="0"/>
        </patternFill>
      </fill>
    </dxf>
    <dxf>
      <font>
        <strike val="0"/>
        <outline val="0"/>
        <shadow val="0"/>
        <u val="none"/>
        <vertAlign val="baseline"/>
        <sz val="12"/>
        <color theme="1"/>
        <name val="Calibri"/>
        <family val="2"/>
        <scheme val="none"/>
      </font>
      <fill>
        <patternFill patternType="none">
          <fgColor indexed="64"/>
          <bgColor theme="0"/>
        </patternFill>
      </fill>
    </dxf>
    <dxf>
      <font>
        <b val="0"/>
        <i val="0"/>
        <strike val="0"/>
        <condense val="0"/>
        <extend val="0"/>
        <outline val="0"/>
        <shadow val="0"/>
        <u val="none"/>
        <vertAlign val="baseline"/>
        <sz val="12"/>
        <color theme="1"/>
        <name val="Calibri"/>
        <family val="2"/>
        <scheme val="minor"/>
      </font>
      <numFmt numFmtId="2" formatCode="0.00"/>
      <fill>
        <patternFill patternType="solid">
          <fgColor indexed="64"/>
          <bgColor theme="0"/>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none"/>
      </font>
      <numFmt numFmtId="2" formatCode="0.00"/>
      <fill>
        <patternFill patternType="none">
          <fgColor indexed="64"/>
          <bgColor theme="0"/>
        </patternFill>
      </fill>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none"/>
      </font>
      <numFmt numFmtId="0" formatCode="General"/>
      <fill>
        <patternFill patternType="none">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none"/>
      </font>
      <numFmt numFmtId="0" formatCode="General"/>
      <fill>
        <patternFill patternType="none">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fill>
        <patternFill patternType="none">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none"/>
      </font>
      <fill>
        <patternFill patternType="none">
          <fgColor indexed="64"/>
          <bgColor theme="0"/>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none"/>
      </font>
      <fill>
        <patternFill patternType="none">
          <fgColor indexed="64"/>
          <bgColor theme="0"/>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none"/>
      </font>
      <fill>
        <patternFill patternType="none">
          <fgColor indexed="64"/>
          <bgColor theme="0"/>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none">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none">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none"/>
      </font>
      <numFmt numFmtId="0" formatCode="General"/>
      <fill>
        <patternFill patternType="none">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none"/>
      </font>
      <numFmt numFmtId="0" formatCode="General"/>
      <fill>
        <patternFill patternType="none">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none"/>
      </font>
      <numFmt numFmtId="0" formatCode="General"/>
      <fill>
        <patternFill patternType="none">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none"/>
      </font>
      <numFmt numFmtId="0" formatCode="General"/>
      <fill>
        <patternFill patternType="none">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numFmt numFmtId="34" formatCode="_-&quot;S/&quot;\ * #,##0.00_-;\-&quot;S/&quot;\ * #,##0.00_-;_-&quot;S/&quot;\ *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theme="1"/>
        <name val="Calibri"/>
        <family val="2"/>
        <scheme val="minor"/>
      </font>
      <numFmt numFmtId="166" formatCode="&quot;S/&quot;\ #,##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strike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fill>
        <patternFill patternType="none">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6"/>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Aptos"/>
        <family val="2"/>
        <scheme val="none"/>
      </font>
      <fill>
        <patternFill patternType="none">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6"/>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Aptos"/>
        <family val="2"/>
        <scheme val="none"/>
      </font>
      <fill>
        <patternFill patternType="none">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6"/>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fill>
        <patternFill patternType="none">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Aptos"/>
        <family val="2"/>
        <scheme val="none"/>
      </font>
      <fill>
        <patternFill patternType="none">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6"/>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fill>
        <patternFill patternType="none">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fill>
        <patternFill patternType="none">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6"/>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2"/>
        <color theme="1"/>
        <name val="Calibri"/>
        <family val="2"/>
        <scheme val="minor"/>
      </font>
      <fill>
        <patternFill patternType="none">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numFmt numFmtId="19" formatCode="d/mm/yyyy"/>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1"/>
    </dxf>
    <dxf>
      <font>
        <strike val="0"/>
        <outline val="0"/>
        <shadow val="0"/>
        <u val="none"/>
        <vertAlign val="baseline"/>
        <sz val="12"/>
        <color theme="1"/>
        <name val="Calibri"/>
        <family val="2"/>
        <scheme val="minor"/>
      </font>
      <numFmt numFmtId="19" formatCode="d/mm/yyyy"/>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1"/>
    </dxf>
    <dxf>
      <font>
        <b val="0"/>
        <i val="0"/>
        <strike val="0"/>
        <condense val="0"/>
        <extend val="0"/>
        <outline val="0"/>
        <shadow val="0"/>
        <u val="none"/>
        <vertAlign val="baseline"/>
        <sz val="12"/>
        <color theme="1"/>
        <name val="Calibri"/>
        <family val="2"/>
        <scheme val="minor"/>
      </font>
      <numFmt numFmtId="19" formatCode="d/mm/yyyy"/>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1"/>
    </dxf>
    <dxf>
      <font>
        <strike val="0"/>
        <outline val="0"/>
        <shadow val="0"/>
        <u val="none"/>
        <vertAlign val="baseline"/>
        <sz val="12"/>
        <color theme="1"/>
        <name val="Calibri"/>
        <family val="2"/>
        <scheme val="minor"/>
      </font>
      <numFmt numFmtId="19" formatCode="d/mm/yyyy"/>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1"/>
    </dxf>
    <dxf>
      <fill>
        <patternFill patternType="solid">
          <fgColor indexed="64"/>
          <bgColor theme="0"/>
        </patternFill>
      </fill>
      <border diagonalUp="0" diagonalDown="0" outline="0">
        <left/>
        <right/>
        <top style="thin">
          <color indexed="64"/>
        </top>
        <bottom/>
      </border>
    </dxf>
    <dxf>
      <font>
        <strike val="0"/>
        <outline val="0"/>
        <shadow val="0"/>
        <u val="none"/>
        <vertAlign val="baseline"/>
        <sz val="12"/>
        <color theme="1"/>
        <name val="Calibri"/>
        <family val="2"/>
        <scheme val="minor"/>
      </font>
      <numFmt numFmtId="0" formatCode="General"/>
      <fill>
        <patternFill patternType="none">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1"/>
    </dxf>
    <dxf>
      <font>
        <b val="0"/>
        <i val="0"/>
        <strike val="0"/>
        <condense val="0"/>
        <extend val="0"/>
        <outline val="0"/>
        <shadow val="0"/>
        <u val="none"/>
        <vertAlign val="baseline"/>
        <sz val="12"/>
        <color theme="1"/>
        <name val="Calibri"/>
        <family val="2"/>
        <scheme val="minor"/>
      </font>
      <numFmt numFmtId="165" formatCode="h:mm;@"/>
      <fill>
        <patternFill patternType="solid">
          <fgColor indexed="64"/>
          <bgColor theme="0"/>
        </patternFill>
      </fill>
      <alignment horizontal="center" vertical="center" textRotation="0" wrapText="0" indent="0" justifyLastLine="0" shrinkToFit="0" readingOrder="0"/>
      <border diagonalUp="0" diagonalDown="0" outline="0">
        <left/>
        <right/>
        <top style="thin">
          <color indexed="64"/>
        </top>
        <bottom/>
      </border>
    </dxf>
    <dxf>
      <font>
        <strike val="0"/>
        <outline val="0"/>
        <shadow val="0"/>
        <u val="none"/>
        <vertAlign val="baseline"/>
        <sz val="12"/>
        <color theme="1"/>
        <name val="Calibri"/>
        <family val="2"/>
        <scheme val="minor"/>
      </font>
      <numFmt numFmtId="165" formatCode="h:mm;@"/>
      <fill>
        <patternFill patternType="none">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numFmt numFmtId="165" formatCode="h:mm;@"/>
      <fill>
        <patternFill patternType="solid">
          <fgColor indexed="64"/>
          <bgColor theme="0"/>
        </patternFill>
      </fill>
      <alignment horizontal="center" vertical="center" textRotation="0" wrapText="0" indent="0" justifyLastLine="0" shrinkToFit="0" readingOrder="0"/>
      <border diagonalUp="0" diagonalDown="0" outline="0">
        <left/>
        <right/>
        <top style="thin">
          <color indexed="64"/>
        </top>
        <bottom/>
      </border>
    </dxf>
    <dxf>
      <font>
        <strike val="0"/>
        <outline val="0"/>
        <shadow val="0"/>
        <u val="none"/>
        <vertAlign val="baseline"/>
        <sz val="12"/>
        <color theme="1"/>
        <name val="Calibri"/>
        <family val="2"/>
        <scheme val="minor"/>
      </font>
      <numFmt numFmtId="165" formatCode="h:mm;@"/>
      <fill>
        <patternFill patternType="none">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theme="1"/>
        <name val="Calibri"/>
        <family val="2"/>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outline="0">
        <left/>
        <right/>
        <top style="thin">
          <color indexed="64"/>
        </top>
        <bottom/>
      </border>
    </dxf>
    <dxf>
      <font>
        <strike val="0"/>
        <outline val="0"/>
        <shadow val="0"/>
        <u val="none"/>
        <vertAlign val="baseline"/>
        <sz val="12"/>
        <color theme="1"/>
        <name val="Calibri"/>
        <family val="2"/>
        <scheme val="minor"/>
      </font>
      <fill>
        <patternFill patternType="none">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indexed="64"/>
        </top>
        <bottom/>
      </border>
    </dxf>
    <dxf>
      <font>
        <strike val="0"/>
        <outline val="0"/>
        <shadow val="0"/>
        <u val="none"/>
        <vertAlign val="baseline"/>
        <sz val="12"/>
        <color theme="1"/>
        <name val="Calibri"/>
        <family val="2"/>
        <scheme val="minor"/>
      </font>
      <numFmt numFmtId="0" formatCode="General"/>
      <fill>
        <patternFill patternType="none">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indexed="64"/>
        </top>
        <bottom/>
      </border>
    </dxf>
    <dxf>
      <font>
        <strike val="0"/>
        <outline val="0"/>
        <shadow val="0"/>
        <u val="none"/>
        <vertAlign val="baseline"/>
        <sz val="12"/>
        <color theme="1"/>
        <name val="Calibri"/>
        <family val="2"/>
        <scheme val="minor"/>
      </font>
      <numFmt numFmtId="19" formatCode="d/mm/yyyy"/>
      <fill>
        <patternFill patternType="none">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numFmt numFmtId="19" formatCode="d/mm/yyyy"/>
      <fill>
        <patternFill patternType="solid">
          <fgColor indexed="64"/>
          <bgColor theme="0"/>
        </patternFill>
      </fill>
      <alignment horizontal="center" vertical="center" textRotation="0" wrapText="0" indent="0" justifyLastLine="0" shrinkToFit="0" readingOrder="0"/>
      <border diagonalUp="0" diagonalDown="0" outline="0">
        <left/>
        <right/>
        <top style="thin">
          <color indexed="64"/>
        </top>
        <bottom/>
      </border>
      <protection locked="0" hidden="0"/>
    </dxf>
    <dxf>
      <font>
        <strike val="0"/>
        <outline val="0"/>
        <shadow val="0"/>
        <u val="none"/>
        <vertAlign val="baseline"/>
        <sz val="12"/>
        <color theme="1"/>
        <name val="Calibri"/>
        <family val="2"/>
        <scheme val="minor"/>
      </font>
      <numFmt numFmtId="19" formatCode="d/mm/yyyy"/>
      <fill>
        <patternFill patternType="none">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indexed="64"/>
        </top>
        <bottom/>
      </border>
    </dxf>
    <dxf>
      <font>
        <strike val="0"/>
        <outline val="0"/>
        <shadow val="0"/>
        <u val="none"/>
        <vertAlign val="baseline"/>
        <sz val="12"/>
        <color theme="1"/>
        <name val="Calibri"/>
        <family val="2"/>
        <scheme val="minor"/>
      </font>
      <numFmt numFmtId="0" formatCode="General"/>
      <fill>
        <patternFill patternType="none">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right/>
        <top style="thin">
          <color indexed="64"/>
        </top>
        <bottom/>
      </border>
    </dxf>
    <dxf>
      <font>
        <strike val="0"/>
        <outline val="0"/>
        <shadow val="0"/>
        <u val="none"/>
        <vertAlign val="baseline"/>
        <sz val="12"/>
        <color theme="1"/>
        <name val="Calibri"/>
        <family val="2"/>
        <scheme val="minor"/>
      </font>
      <numFmt numFmtId="0" formatCode="General"/>
      <fill>
        <patternFill patternType="none">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right/>
        <top style="thin">
          <color indexed="64"/>
        </top>
        <bottom/>
      </border>
    </dxf>
    <dxf>
      <font>
        <strike val="0"/>
        <outline val="0"/>
        <shadow val="0"/>
        <u val="none"/>
        <vertAlign val="baseline"/>
        <sz val="12"/>
        <color theme="1"/>
        <name val="Calibri"/>
        <family val="2"/>
        <scheme val="minor"/>
      </font>
      <numFmt numFmtId="0" formatCode="General"/>
      <fill>
        <patternFill patternType="none">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indexed="64"/>
        </top>
        <bottom/>
      </border>
    </dxf>
    <dxf>
      <font>
        <strike val="0"/>
        <outline val="0"/>
        <shadow val="0"/>
        <u val="none"/>
        <vertAlign val="baseline"/>
        <sz val="12"/>
        <color theme="1"/>
        <name val="Calibri"/>
        <family val="2"/>
        <scheme val="minor"/>
      </font>
      <numFmt numFmtId="0" formatCode="General"/>
      <fill>
        <patternFill patternType="none">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right/>
        <top style="thin">
          <color indexed="64"/>
        </top>
        <bottom/>
      </border>
    </dxf>
    <dxf>
      <font>
        <strike val="0"/>
        <outline val="0"/>
        <shadow val="0"/>
        <u val="none"/>
        <vertAlign val="baseline"/>
        <sz val="12"/>
        <color theme="1"/>
        <name val="Calibri"/>
        <family val="2"/>
        <scheme val="minor"/>
      </font>
      <numFmt numFmtId="0" formatCode="General"/>
      <fill>
        <patternFill patternType="none">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indexed="64"/>
        </top>
        <bottom/>
      </border>
    </dxf>
    <dxf>
      <font>
        <strike val="0"/>
        <outline val="0"/>
        <shadow val="0"/>
        <u val="none"/>
        <vertAlign val="baseline"/>
        <sz val="12"/>
        <color theme="1"/>
        <name val="Calibri"/>
        <family val="2"/>
        <scheme val="minor"/>
      </font>
      <numFmt numFmtId="0" formatCode="General"/>
      <fill>
        <patternFill patternType="none">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indexed="64"/>
        </top>
        <bottom/>
      </border>
    </dxf>
    <dxf>
      <font>
        <strike val="0"/>
        <outline val="0"/>
        <shadow val="0"/>
        <u val="none"/>
        <vertAlign val="baseline"/>
        <sz val="12"/>
        <color theme="1"/>
        <name val="Calibri"/>
        <family val="2"/>
        <scheme val="minor"/>
      </font>
      <numFmt numFmtId="0" formatCode="General"/>
      <fill>
        <patternFill patternType="none">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indexed="64"/>
        </top>
        <bottom/>
      </border>
    </dxf>
    <dxf>
      <font>
        <strike val="0"/>
        <outline val="0"/>
        <shadow val="0"/>
        <u val="none"/>
        <vertAlign val="baseline"/>
        <sz val="12"/>
        <color theme="1"/>
        <name val="Calibri"/>
        <family val="2"/>
        <scheme val="minor"/>
      </font>
      <numFmt numFmtId="0" formatCode="General"/>
      <fill>
        <patternFill patternType="none">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indexed="64"/>
        </top>
        <bottom/>
      </border>
    </dxf>
    <dxf>
      <font>
        <strike val="0"/>
        <outline val="0"/>
        <shadow val="0"/>
        <u val="none"/>
        <vertAlign val="baseline"/>
        <sz val="12"/>
        <color theme="1"/>
        <name val="Calibri"/>
        <family val="2"/>
        <scheme val="minor"/>
      </font>
      <fill>
        <patternFill patternType="none">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border outline="0">
        <top style="thin">
          <color rgb="FF000000"/>
        </top>
      </border>
    </dxf>
    <dxf>
      <font>
        <strike val="0"/>
        <outline val="0"/>
        <shadow val="0"/>
        <u val="none"/>
        <vertAlign val="baseline"/>
        <sz val="12"/>
        <color rgb="FF000000"/>
        <name val="Calibri"/>
        <family val="2"/>
        <scheme val="none"/>
      </font>
      <fill>
        <patternFill patternType="none">
          <fgColor indexed="64"/>
          <bgColor theme="0"/>
        </patternFill>
      </fill>
    </dxf>
    <dxf>
      <border outline="0">
        <bottom style="thin">
          <color rgb="FF000000"/>
        </bottom>
      </border>
    </dxf>
    <dxf>
      <font>
        <b/>
        <i val="0"/>
        <strike val="0"/>
        <condense val="0"/>
        <extend val="0"/>
        <outline val="0"/>
        <shadow val="0"/>
        <u val="none"/>
        <vertAlign val="baseline"/>
        <sz val="12"/>
        <color rgb="FF002060"/>
        <name val="Calibri"/>
        <family val="2"/>
        <scheme val="minor"/>
      </font>
      <fill>
        <patternFill patternType="solid">
          <fgColor indexed="64"/>
          <bgColor rgb="FFFFFF66"/>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122464</xdr:colOff>
      <xdr:row>0</xdr:row>
      <xdr:rowOff>54428</xdr:rowOff>
    </xdr:from>
    <xdr:ext cx="1855082" cy="458107"/>
    <xdr:pic>
      <xdr:nvPicPr>
        <xdr:cNvPr id="2" name="Imagen 1">
          <a:extLst>
            <a:ext uri="{FF2B5EF4-FFF2-40B4-BE49-F238E27FC236}">
              <a16:creationId xmlns:a16="http://schemas.microsoft.com/office/drawing/2014/main" id="{0EAFA4B1-F5F6-4B72-AB7A-D0BE45ED52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8269" y="58238"/>
          <a:ext cx="1855082" cy="458107"/>
        </a:xfrm>
        <a:prstGeom prst="rect">
          <a:avLst/>
        </a:prstGeom>
        <a:noFill/>
        <a:ln>
          <a:noFill/>
        </a:ln>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gnexgroup-my.sharepoint.com/personal/stephany_valentin_magnexgroup_com/Documents/Im&#225;genes/ENEL%20-%202021/SANTA%20ROSA%202026/3.%20Cotizador/COTIZADOR%20SANTA%20ROSA%202024%20v17.xlsm" TargetMode="External"/><Relationship Id="rId1" Type="http://schemas.openxmlformats.org/officeDocument/2006/relationships/externalLinkPath" Target="https://magnexgroup-my.sharepoint.com/personal/stephany_valentin_magnexgroup_com/Documents/Im&#225;genes/ENEL%20-%202021/SANTA%20ROSA%202026/3.%20Cotizador/COTIZADOR%20SANTA%20ROSA%202024%20v17.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magnexgroup-my.sharepoint.com/personal/aldo_calixtro_magnexgroup_com/Documents/VENTANILLA/COTIZADOR%20VENTANILLA%20V12.xlsm" TargetMode="External"/><Relationship Id="rId1" Type="http://schemas.openxmlformats.org/officeDocument/2006/relationships/externalLinkPath" Target="https://magnexgroup-my.sharepoint.com/personal/aldo_calixtro_magnexgroup_com/Documents/VENTANILLA/COTIZADOR%20VENTANILLA%20V1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ECIARIO"/>
      <sheetName val="Hoja1"/>
      <sheetName val="LINEA-CANTIDAD"/>
      <sheetName val="COTIZACIONES 2023"/>
      <sheetName val="Hoja2"/>
      <sheetName val="COTIZACION X"/>
      <sheetName val="Obs."/>
      <sheetName val="MOTORES"/>
      <sheetName val="canastas 2024"/>
      <sheetName val="C ANDAMIO"/>
    </sheetNames>
    <sheetDataSet>
      <sheetData sheetId="0" refreshError="1">
        <row r="4">
          <cell r="A4" t="str">
            <v>ITEM</v>
          </cell>
          <cell r="B4" t="str">
            <v>ANEXO</v>
          </cell>
          <cell r="C4" t="str">
            <v>CODIGO ACTIVIDAD</v>
          </cell>
          <cell r="D4" t="str">
            <v>CENTRAL</v>
          </cell>
          <cell r="E4" t="str">
            <v>ALCANCE</v>
          </cell>
          <cell r="F4" t="str">
            <v>DESCRIPCION AMPLIADA</v>
          </cell>
          <cell r="G4" t="str">
            <v>GM</v>
          </cell>
          <cell r="H4" t="str">
            <v>UNIDAD DE MEDIDA</v>
          </cell>
          <cell r="I4" t="str">
            <v>DIAS DE TRABAJO</v>
          </cell>
          <cell r="J4" t="str">
            <v>HORAS</v>
          </cell>
          <cell r="K4" t="str">
            <v>PERSONAS</v>
          </cell>
          <cell r="L4" t="str">
            <v>HH</v>
          </cell>
          <cell r="M4" t="str">
            <v>RT EXCLUSIVO?</v>
          </cell>
          <cell r="N4" t="str">
            <v>CANTIDAD VENTANILLA (1 AÑO)</v>
          </cell>
          <cell r="O4" t="str">
            <v>CANTIDAD SANTA ROSA (1 AÑO)</v>
          </cell>
          <cell r="P4" t="str">
            <v>CANTIDAD MALACAS (1 AÑO)</v>
          </cell>
          <cell r="Q4" t="str">
            <v>CANTIDAD VENTANILLA (3 AÑOS)</v>
          </cell>
          <cell r="R4" t="str">
            <v>CANTIDAD SANTA ROSA (3 AÑOS)</v>
          </cell>
          <cell r="S4" t="str">
            <v>CANTIDAD
MALACAS
(3 AÑOS)</v>
          </cell>
          <cell r="T4" t="str">
            <v>P. U. 
VENTANILLA</v>
          </cell>
          <cell r="U4" t="str">
            <v>P. U. 
SANTA ROSA</v>
          </cell>
          <cell r="V4" t="str">
            <v>P. U. 
MALACAS</v>
          </cell>
          <cell r="W4" t="str">
            <v>VENTANILLA (3 AÑOS)</v>
          </cell>
          <cell r="X4" t="str">
            <v>SANTA ROSA (3 AÑOS)</v>
          </cell>
          <cell r="Y4" t="str">
            <v>EG PERU
(Soles sin IGV) 
(3 AÑOS)</v>
          </cell>
          <cell r="Z4" t="str">
            <v>EG PIURA
(Soles sin IGV) 
(3 AÑOS)</v>
          </cell>
          <cell r="AA4" t="str">
            <v>PRECIO UNITARIO
S/.</v>
          </cell>
          <cell r="AB4" t="str">
            <v>COSTO POR HORA
 (S/. / H)</v>
          </cell>
          <cell r="AC4" t="str">
            <v>HORAS HOMBRE TOTALES
(H)</v>
          </cell>
          <cell r="AD4" t="str">
            <v>OTROS COSTOS DIRECTOS
(S/.)</v>
          </cell>
          <cell r="AE4" t="str">
            <v>COSTOS INDIRECTOS
(S/.)</v>
          </cell>
          <cell r="AF4" t="str">
            <v>GASTOS GENERALES Y ADMINISTRATIVOS
(S/.)</v>
          </cell>
          <cell r="AG4" t="str">
            <v>UTILIDAD (S/.)</v>
          </cell>
          <cell r="AH4" t="str">
            <v>AREA</v>
          </cell>
          <cell r="AI4" t="str">
            <v>PRECIO UNITARIO
S/.</v>
          </cell>
          <cell r="AJ4" t="str">
            <v>HORAS HOMBRE TOTALES
(HH)</v>
          </cell>
          <cell r="AK4" t="str">
            <v>COSTO
RATIO
(Soles/HH)</v>
          </cell>
        </row>
        <row r="5">
          <cell r="A5" t="str">
            <v>C288</v>
          </cell>
          <cell r="B5" t="str">
            <v>COND</v>
          </cell>
          <cell r="C5" t="str">
            <v>WWOMMIM01060900100</v>
          </cell>
          <cell r="D5" t="str">
            <v>VENTANILLA, SANTA ROSA Y MALACAS</v>
          </cell>
          <cell r="E5" t="str">
            <v>MANTENIMIENTO COMPUERTAS AIRE/GAS</v>
          </cell>
          <cell r="F5" t="str">
            <v>VER CAP. 6 - 6.8.8</v>
          </cell>
          <cell r="G5" t="str">
            <v>MMIM0100</v>
          </cell>
          <cell r="H5" t="str">
            <v>NUM</v>
          </cell>
          <cell r="I5">
            <v>1</v>
          </cell>
          <cell r="J5">
            <v>16</v>
          </cell>
          <cell r="K5">
            <v>4</v>
          </cell>
          <cell r="L5">
            <v>64</v>
          </cell>
          <cell r="M5" t="str">
            <v>SI</v>
          </cell>
          <cell r="N5">
            <v>4</v>
          </cell>
          <cell r="O5">
            <v>3</v>
          </cell>
          <cell r="P5">
            <v>3</v>
          </cell>
          <cell r="Q5">
            <v>12</v>
          </cell>
          <cell r="R5">
            <v>9</v>
          </cell>
          <cell r="S5">
            <v>9</v>
          </cell>
          <cell r="T5">
            <v>2807.6886514262414</v>
          </cell>
          <cell r="U5">
            <v>2807.6886514262414</v>
          </cell>
          <cell r="V5">
            <v>2807.6886514262414</v>
          </cell>
          <cell r="W5">
            <v>33692.263817114901</v>
          </cell>
          <cell r="X5">
            <v>25269.197862836172</v>
          </cell>
          <cell r="Y5">
            <v>58961.46167995107</v>
          </cell>
          <cell r="Z5">
            <v>25269.197862836172</v>
          </cell>
          <cell r="AA5">
            <v>2807.6886514262414</v>
          </cell>
          <cell r="AB5">
            <v>19.97398901669203</v>
          </cell>
          <cell r="AC5">
            <v>64</v>
          </cell>
          <cell r="AD5">
            <v>450.08939761363325</v>
          </cell>
          <cell r="AE5">
            <v>724.13352634029991</v>
          </cell>
          <cell r="AF5">
            <v>147.15349326133338</v>
          </cell>
          <cell r="AG5">
            <v>207.97693714268456</v>
          </cell>
          <cell r="AH5" t="str">
            <v>Mecánica</v>
          </cell>
          <cell r="AI5">
            <v>2807.6886514262414</v>
          </cell>
          <cell r="AJ5">
            <v>64</v>
          </cell>
          <cell r="AK5">
            <v>43.870135178535023</v>
          </cell>
        </row>
        <row r="6">
          <cell r="A6" t="str">
            <v>C282</v>
          </cell>
          <cell r="B6" t="str">
            <v>COND</v>
          </cell>
          <cell r="C6" t="str">
            <v>WWOMMIM01060800800</v>
          </cell>
          <cell r="D6" t="str">
            <v>VENTANILLA</v>
          </cell>
          <cell r="E6" t="str">
            <v>DESM/MONT VENTILADOR Y ALABES TORRES REF</v>
          </cell>
          <cell r="F6" t="str">
            <v>VER CAP. 6 - 6.8.7</v>
          </cell>
          <cell r="G6" t="str">
            <v>MMIM0100</v>
          </cell>
          <cell r="H6" t="str">
            <v>NUM</v>
          </cell>
          <cell r="I6">
            <v>1</v>
          </cell>
          <cell r="J6">
            <v>16</v>
          </cell>
          <cell r="K6">
            <v>5</v>
          </cell>
          <cell r="L6">
            <v>80</v>
          </cell>
          <cell r="M6" t="str">
            <v>SI</v>
          </cell>
          <cell r="N6">
            <v>4</v>
          </cell>
          <cell r="O6">
            <v>0</v>
          </cell>
          <cell r="P6">
            <v>0</v>
          </cell>
          <cell r="Q6">
            <v>12</v>
          </cell>
          <cell r="R6">
            <v>0</v>
          </cell>
          <cell r="S6">
            <v>0</v>
          </cell>
          <cell r="T6">
            <v>3573.8480284454267</v>
          </cell>
          <cell r="U6"/>
          <cell r="V6">
            <v>0</v>
          </cell>
          <cell r="W6">
            <v>42886.176341345119</v>
          </cell>
          <cell r="X6">
            <v>0</v>
          </cell>
          <cell r="Y6">
            <v>42886.176341345119</v>
          </cell>
          <cell r="Z6">
            <v>0</v>
          </cell>
          <cell r="AA6">
            <v>3573.8480284454267</v>
          </cell>
          <cell r="AB6">
            <v>20.588492010058577</v>
          </cell>
          <cell r="AC6">
            <v>80</v>
          </cell>
          <cell r="AD6">
            <v>565.2764803707413</v>
          </cell>
          <cell r="AE6">
            <v>909.45410680275791</v>
          </cell>
          <cell r="AF6">
            <v>187.30859687869111</v>
          </cell>
          <cell r="AG6">
            <v>264.72948358855012</v>
          </cell>
          <cell r="AH6" t="str">
            <v>Mecánica</v>
          </cell>
          <cell r="AI6">
            <v>3573.8480284454267</v>
          </cell>
          <cell r="AJ6">
            <v>80</v>
          </cell>
          <cell r="AK6">
            <v>44.673100355567833</v>
          </cell>
        </row>
        <row r="7">
          <cell r="A7" t="str">
            <v>C285</v>
          </cell>
          <cell r="B7" t="str">
            <v>COND</v>
          </cell>
          <cell r="C7" t="str">
            <v>WWOMMIM01060800600</v>
          </cell>
          <cell r="D7" t="str">
            <v>VENTANILLA, SANTA ROSA Y MALACAS</v>
          </cell>
          <cell r="E7" t="str">
            <v>REVISIÓN VENTILADORES AXIALES DOS ETAPAS</v>
          </cell>
          <cell r="F7" t="str">
            <v>VER CAP. 6 - 6.8.6</v>
          </cell>
          <cell r="G7" t="str">
            <v>MMIM0100</v>
          </cell>
          <cell r="H7" t="str">
            <v>NUM</v>
          </cell>
          <cell r="I7">
            <v>1</v>
          </cell>
          <cell r="J7">
            <v>40</v>
          </cell>
          <cell r="K7">
            <v>5</v>
          </cell>
          <cell r="L7">
            <v>200</v>
          </cell>
          <cell r="M7" t="str">
            <v>SI</v>
          </cell>
          <cell r="N7">
            <v>4</v>
          </cell>
          <cell r="O7">
            <v>3</v>
          </cell>
          <cell r="P7">
            <v>3</v>
          </cell>
          <cell r="Q7">
            <v>12</v>
          </cell>
          <cell r="R7">
            <v>9</v>
          </cell>
          <cell r="S7">
            <v>9</v>
          </cell>
          <cell r="T7">
            <v>8915.9755277927288</v>
          </cell>
          <cell r="U7">
            <v>8915.9755277927288</v>
          </cell>
          <cell r="V7">
            <v>8915.9755277927288</v>
          </cell>
          <cell r="W7">
            <v>106991.70633351275</v>
          </cell>
          <cell r="X7">
            <v>80243.779750134563</v>
          </cell>
          <cell r="Y7">
            <v>187235.48608364729</v>
          </cell>
          <cell r="Z7">
            <v>80243.779750134563</v>
          </cell>
          <cell r="AA7">
            <v>8915.9755277927288</v>
          </cell>
          <cell r="AB7">
            <v>20.588492010058577</v>
          </cell>
          <cell r="AC7">
            <v>200</v>
          </cell>
          <cell r="AD7">
            <v>1406.9485312194897</v>
          </cell>
          <cell r="AE7">
            <v>2263.5916479993407</v>
          </cell>
          <cell r="AF7">
            <v>467.29431487383272</v>
          </cell>
          <cell r="AG7">
            <v>660.44263168835027</v>
          </cell>
          <cell r="AH7" t="str">
            <v>Mecánica</v>
          </cell>
          <cell r="AI7">
            <v>8915.9755277927288</v>
          </cell>
          <cell r="AJ7">
            <v>200</v>
          </cell>
          <cell r="AK7">
            <v>44.579877638963644</v>
          </cell>
        </row>
        <row r="8">
          <cell r="A8" t="str">
            <v>C286</v>
          </cell>
          <cell r="B8" t="str">
            <v>COND</v>
          </cell>
          <cell r="C8" t="str">
            <v>WWOMMIM01060800500</v>
          </cell>
          <cell r="D8" t="str">
            <v>VENTANILLA, SANTA ROSA Y MALACAS</v>
          </cell>
          <cell r="E8" t="str">
            <v>REVISIÓN VENTILADORES AXIALES UNA ETAPA</v>
          </cell>
          <cell r="F8" t="str">
            <v>VER CAP. 6 - 6.8.5</v>
          </cell>
          <cell r="G8" t="str">
            <v>MMIM0100</v>
          </cell>
          <cell r="H8" t="str">
            <v>NUM</v>
          </cell>
          <cell r="I8">
            <v>1</v>
          </cell>
          <cell r="J8">
            <v>30</v>
          </cell>
          <cell r="K8">
            <v>5</v>
          </cell>
          <cell r="L8">
            <v>150</v>
          </cell>
          <cell r="M8" t="str">
            <v>SI</v>
          </cell>
          <cell r="N8">
            <v>4</v>
          </cell>
          <cell r="O8">
            <v>3</v>
          </cell>
          <cell r="P8">
            <v>3</v>
          </cell>
          <cell r="Q8">
            <v>12</v>
          </cell>
          <cell r="R8">
            <v>9</v>
          </cell>
          <cell r="S8">
            <v>9</v>
          </cell>
          <cell r="T8">
            <v>6686.9816458445412</v>
          </cell>
          <cell r="U8">
            <v>6686.9816458445412</v>
          </cell>
          <cell r="V8">
            <v>6686.9816458445412</v>
          </cell>
          <cell r="W8">
            <v>80243.77975013449</v>
          </cell>
          <cell r="X8">
            <v>60182.834812600871</v>
          </cell>
          <cell r="Y8">
            <v>140426.61456273537</v>
          </cell>
          <cell r="Z8">
            <v>60182.834812600871</v>
          </cell>
          <cell r="AA8">
            <v>6686.9816458445412</v>
          </cell>
          <cell r="AB8">
            <v>20.588492010058573</v>
          </cell>
          <cell r="AC8">
            <v>150</v>
          </cell>
          <cell r="AD8">
            <v>1055.2113984146158</v>
          </cell>
          <cell r="AE8">
            <v>1697.6937359995029</v>
          </cell>
          <cell r="AF8">
            <v>350.47073615537425</v>
          </cell>
          <cell r="AG8">
            <v>495.33197376626231</v>
          </cell>
          <cell r="AH8" t="str">
            <v>Mecánica</v>
          </cell>
          <cell r="AI8">
            <v>6686.9816458445412</v>
          </cell>
          <cell r="AJ8">
            <v>150</v>
          </cell>
          <cell r="AK8">
            <v>44.579877638963609</v>
          </cell>
        </row>
        <row r="9">
          <cell r="A9" t="str">
            <v>C287</v>
          </cell>
          <cell r="B9" t="str">
            <v>COND</v>
          </cell>
          <cell r="C9" t="str">
            <v>WWOMMIM01060800400</v>
          </cell>
          <cell r="D9" t="str">
            <v>VENTANILLA, SANTA ROSA Y MALACAS</v>
          </cell>
          <cell r="E9" t="str">
            <v>REVISIÓN VENTILADORES TIRO INDUC CENTRIF</v>
          </cell>
          <cell r="F9" t="str">
            <v>VER CAP. 6 - 6.8.4</v>
          </cell>
          <cell r="G9" t="str">
            <v>MMIM0100</v>
          </cell>
          <cell r="H9" t="str">
            <v>NUM</v>
          </cell>
          <cell r="I9">
            <v>1</v>
          </cell>
          <cell r="J9">
            <v>10</v>
          </cell>
          <cell r="K9">
            <v>4</v>
          </cell>
          <cell r="L9">
            <v>40</v>
          </cell>
          <cell r="M9" t="str">
            <v>SI</v>
          </cell>
          <cell r="N9">
            <v>4</v>
          </cell>
          <cell r="O9">
            <v>3</v>
          </cell>
          <cell r="P9">
            <v>3</v>
          </cell>
          <cell r="Q9">
            <v>12</v>
          </cell>
          <cell r="R9">
            <v>9</v>
          </cell>
          <cell r="S9">
            <v>9</v>
          </cell>
          <cell r="T9">
            <v>1846.8307684483095</v>
          </cell>
          <cell r="U9">
            <v>1846.8307684483095</v>
          </cell>
          <cell r="V9">
            <v>1846.8307684483095</v>
          </cell>
          <cell r="W9">
            <v>22161.969221379713</v>
          </cell>
          <cell r="X9">
            <v>16621.476916034786</v>
          </cell>
          <cell r="Y9">
            <v>38783.446137414503</v>
          </cell>
          <cell r="Z9">
            <v>16621.476916034786</v>
          </cell>
          <cell r="AA9">
            <v>1846.8307684483095</v>
          </cell>
          <cell r="AB9">
            <v>21.911471765190718</v>
          </cell>
          <cell r="AC9">
            <v>40</v>
          </cell>
          <cell r="AD9">
            <v>282.41218782242242</v>
          </cell>
          <cell r="AE9">
            <v>454.36336544163777</v>
          </cell>
          <cell r="AF9">
            <v>96.794065432301338</v>
          </cell>
          <cell r="AG9">
            <v>136.80227914431921</v>
          </cell>
          <cell r="AH9" t="str">
            <v>Mecánica</v>
          </cell>
          <cell r="AI9">
            <v>1846.8307684483095</v>
          </cell>
          <cell r="AJ9">
            <v>40</v>
          </cell>
          <cell r="AK9">
            <v>46.170769211207741</v>
          </cell>
        </row>
        <row r="10">
          <cell r="A10" t="str">
            <v>C281</v>
          </cell>
          <cell r="B10" t="str">
            <v>COND</v>
          </cell>
          <cell r="C10" t="str">
            <v>WWOMMIM01060800300</v>
          </cell>
          <cell r="D10" t="str">
            <v>VENTANILLA, SANTA ROSA Y MALACAS</v>
          </cell>
          <cell r="E10" t="str">
            <v>ALINEACIÓN MOTOR-VENTILADOR CENTRIFUGO</v>
          </cell>
          <cell r="F10" t="str">
            <v>VER CAP. 6 - 6.8.3</v>
          </cell>
          <cell r="G10" t="str">
            <v>MMIM0100</v>
          </cell>
          <cell r="H10" t="str">
            <v>NUM</v>
          </cell>
          <cell r="I10">
            <v>1</v>
          </cell>
          <cell r="J10">
            <v>4</v>
          </cell>
          <cell r="K10">
            <v>2</v>
          </cell>
          <cell r="L10">
            <v>8</v>
          </cell>
          <cell r="M10" t="str">
            <v>NO</v>
          </cell>
          <cell r="N10">
            <v>4</v>
          </cell>
          <cell r="O10">
            <v>3</v>
          </cell>
          <cell r="P10">
            <v>3</v>
          </cell>
          <cell r="Q10">
            <v>12</v>
          </cell>
          <cell r="R10">
            <v>9</v>
          </cell>
          <cell r="S10">
            <v>9</v>
          </cell>
          <cell r="T10">
            <v>359.38152753390028</v>
          </cell>
          <cell r="U10">
            <v>359.38152753390028</v>
          </cell>
          <cell r="V10">
            <v>359.38152753390028</v>
          </cell>
          <cell r="W10">
            <v>4312.5783304068036</v>
          </cell>
          <cell r="X10">
            <v>3234.4337478051025</v>
          </cell>
          <cell r="Y10">
            <v>7547.0120782119066</v>
          </cell>
          <cell r="Z10">
            <v>3234.4337478051025</v>
          </cell>
          <cell r="AA10">
            <v>359.38152753390028</v>
          </cell>
          <cell r="AB10">
            <v>20.776439546856693</v>
          </cell>
          <cell r="AC10">
            <v>8</v>
          </cell>
          <cell r="AD10">
            <v>56.619867691888167</v>
          </cell>
          <cell r="AE10">
            <v>91.093779746937756</v>
          </cell>
          <cell r="AF10">
            <v>18.835509828820769</v>
          </cell>
          <cell r="AG10">
            <v>26.620853891400021</v>
          </cell>
          <cell r="AH10" t="str">
            <v>Mecánica</v>
          </cell>
          <cell r="AI10">
            <v>359.38152753390028</v>
          </cell>
          <cell r="AJ10">
            <v>8</v>
          </cell>
          <cell r="AK10">
            <v>44.922690941737535</v>
          </cell>
        </row>
        <row r="11">
          <cell r="A11" t="str">
            <v>C283</v>
          </cell>
          <cell r="B11" t="str">
            <v>COND</v>
          </cell>
          <cell r="C11" t="str">
            <v>WWOMMIM01060800200</v>
          </cell>
          <cell r="D11" t="str">
            <v>VENTANILLA, SANTA ROSA Y MALACAS</v>
          </cell>
          <cell r="E11" t="str">
            <v>REVISIÓN COJIN VENTIL CENTRIF AIRE/GAS</v>
          </cell>
          <cell r="F11" t="str">
            <v>VER CAP. 6 - 6.8.2</v>
          </cell>
          <cell r="G11" t="str">
            <v>MMIM0100</v>
          </cell>
          <cell r="H11" t="str">
            <v>NUM</v>
          </cell>
          <cell r="I11">
            <v>1</v>
          </cell>
          <cell r="J11">
            <v>8</v>
          </cell>
          <cell r="K11">
            <v>4</v>
          </cell>
          <cell r="L11">
            <v>32</v>
          </cell>
          <cell r="M11" t="str">
            <v>SI</v>
          </cell>
          <cell r="N11">
            <v>4</v>
          </cell>
          <cell r="O11">
            <v>3</v>
          </cell>
          <cell r="P11">
            <v>3</v>
          </cell>
          <cell r="Q11">
            <v>12</v>
          </cell>
          <cell r="R11">
            <v>9</v>
          </cell>
          <cell r="S11">
            <v>9</v>
          </cell>
          <cell r="T11">
            <v>1403.844325713121</v>
          </cell>
          <cell r="U11">
            <v>1403.844325713121</v>
          </cell>
          <cell r="V11">
            <v>1403.844325713121</v>
          </cell>
          <cell r="W11">
            <v>16846.131908557451</v>
          </cell>
          <cell r="X11">
            <v>12634.598931418088</v>
          </cell>
          <cell r="Y11">
            <v>29480.730839975538</v>
          </cell>
          <cell r="Z11">
            <v>12634.598931418088</v>
          </cell>
          <cell r="AA11">
            <v>1403.844325713121</v>
          </cell>
          <cell r="AB11">
            <v>19.97398901669203</v>
          </cell>
          <cell r="AC11">
            <v>32</v>
          </cell>
          <cell r="AD11">
            <v>225.04469880681671</v>
          </cell>
          <cell r="AE11">
            <v>362.06676317015007</v>
          </cell>
          <cell r="AF11">
            <v>73.576746630666705</v>
          </cell>
          <cell r="AG11">
            <v>103.9884685713423</v>
          </cell>
          <cell r="AH11" t="str">
            <v>Mecánica</v>
          </cell>
          <cell r="AI11">
            <v>1403.844325713121</v>
          </cell>
          <cell r="AJ11">
            <v>32</v>
          </cell>
          <cell r="AK11">
            <v>43.87013517853503</v>
          </cell>
        </row>
        <row r="12">
          <cell r="A12" t="str">
            <v>C284</v>
          </cell>
          <cell r="B12" t="str">
            <v>COND</v>
          </cell>
          <cell r="C12" t="str">
            <v>WWOMMIM01060800100</v>
          </cell>
          <cell r="D12" t="str">
            <v>VENTANILLA, SANTA ROSA Y MALACAS</v>
          </cell>
          <cell r="E12" t="str">
            <v>REVISIÓN EN VENTILADOR AIRE</v>
          </cell>
          <cell r="F12" t="str">
            <v>VER CAP. 6 - 6.8.1</v>
          </cell>
          <cell r="G12" t="str">
            <v>MMIM0100</v>
          </cell>
          <cell r="H12" t="str">
            <v>NUM</v>
          </cell>
          <cell r="I12">
            <v>1</v>
          </cell>
          <cell r="J12">
            <v>10</v>
          </cell>
          <cell r="K12">
            <v>4</v>
          </cell>
          <cell r="L12">
            <v>40</v>
          </cell>
          <cell r="M12" t="str">
            <v>SI</v>
          </cell>
          <cell r="N12">
            <v>4</v>
          </cell>
          <cell r="O12">
            <v>3</v>
          </cell>
          <cell r="P12">
            <v>3</v>
          </cell>
          <cell r="Q12">
            <v>12</v>
          </cell>
          <cell r="R12">
            <v>9</v>
          </cell>
          <cell r="S12">
            <v>9</v>
          </cell>
          <cell r="T12">
            <v>1846.8307684483095</v>
          </cell>
          <cell r="U12">
            <v>1846.8307684483095</v>
          </cell>
          <cell r="V12">
            <v>1846.8307684483095</v>
          </cell>
          <cell r="W12">
            <v>22161.969221379713</v>
          </cell>
          <cell r="X12">
            <v>16621.476916034786</v>
          </cell>
          <cell r="Y12">
            <v>38783.446137414503</v>
          </cell>
          <cell r="Z12">
            <v>16621.476916034786</v>
          </cell>
          <cell r="AA12">
            <v>1846.8307684483095</v>
          </cell>
          <cell r="AB12">
            <v>21.911471765190718</v>
          </cell>
          <cell r="AC12">
            <v>40</v>
          </cell>
          <cell r="AD12">
            <v>282.41218782242242</v>
          </cell>
          <cell r="AE12">
            <v>454.36336544163777</v>
          </cell>
          <cell r="AF12">
            <v>96.794065432301338</v>
          </cell>
          <cell r="AG12">
            <v>136.80227914431921</v>
          </cell>
          <cell r="AH12" t="str">
            <v>Mecánica</v>
          </cell>
          <cell r="AI12">
            <v>1846.8307684483095</v>
          </cell>
          <cell r="AJ12">
            <v>40</v>
          </cell>
          <cell r="AK12">
            <v>46.170769211207741</v>
          </cell>
        </row>
        <row r="13">
          <cell r="A13" t="str">
            <v>C289</v>
          </cell>
          <cell r="B13" t="str">
            <v>COND</v>
          </cell>
          <cell r="C13" t="str">
            <v>WWOMMIM01061000100</v>
          </cell>
          <cell r="D13" t="str">
            <v>VENTANILLA, SANTA ROSA Y MALACAS</v>
          </cell>
          <cell r="E13" t="str">
            <v>MONT/DESMONT/SOST SERVOMOTORES COMPUER</v>
          </cell>
          <cell r="F13" t="str">
            <v>VER CAP. 6 - 6.10.1</v>
          </cell>
          <cell r="G13" t="str">
            <v>MMIM0100</v>
          </cell>
          <cell r="H13" t="str">
            <v>NUM</v>
          </cell>
          <cell r="I13">
            <v>1</v>
          </cell>
          <cell r="J13">
            <v>10</v>
          </cell>
          <cell r="K13">
            <v>4</v>
          </cell>
          <cell r="L13">
            <v>40</v>
          </cell>
          <cell r="M13" t="str">
            <v>SI</v>
          </cell>
          <cell r="N13">
            <v>4</v>
          </cell>
          <cell r="O13">
            <v>3</v>
          </cell>
          <cell r="P13">
            <v>3</v>
          </cell>
          <cell r="Q13">
            <v>12</v>
          </cell>
          <cell r="R13">
            <v>9</v>
          </cell>
          <cell r="S13">
            <v>9</v>
          </cell>
          <cell r="T13">
            <v>1846.8307684483095</v>
          </cell>
          <cell r="U13">
            <v>1846.8307684483095</v>
          </cell>
          <cell r="V13">
            <v>1846.8307684483095</v>
          </cell>
          <cell r="W13">
            <v>22161.969221379713</v>
          </cell>
          <cell r="X13">
            <v>16621.476916034786</v>
          </cell>
          <cell r="Y13">
            <v>38783.446137414503</v>
          </cell>
          <cell r="Z13">
            <v>16621.476916034786</v>
          </cell>
          <cell r="AA13">
            <v>1846.8307684483095</v>
          </cell>
          <cell r="AB13">
            <v>21.911471765190718</v>
          </cell>
          <cell r="AC13">
            <v>40</v>
          </cell>
          <cell r="AD13">
            <v>282.41218782242242</v>
          </cell>
          <cell r="AE13">
            <v>454.36336544163777</v>
          </cell>
          <cell r="AF13">
            <v>96.794065432301338</v>
          </cell>
          <cell r="AG13">
            <v>136.80227914431921</v>
          </cell>
          <cell r="AH13" t="str">
            <v>Mecánica</v>
          </cell>
          <cell r="AI13">
            <v>1846.8307684483095</v>
          </cell>
          <cell r="AJ13">
            <v>40</v>
          </cell>
          <cell r="AK13">
            <v>46.170769211207741</v>
          </cell>
        </row>
        <row r="14">
          <cell r="A14" t="str">
            <v>P106</v>
          </cell>
          <cell r="B14" t="str">
            <v>PREV</v>
          </cell>
          <cell r="C14" t="str">
            <v>PEOMMIM01MMVAL0001</v>
          </cell>
          <cell r="D14" t="str">
            <v>VENTANILLA</v>
          </cell>
          <cell r="E14" t="str">
            <v>MANTENIMIENTO DE CODO Y VÁLVULA DE VENTEO EN POZOS</v>
          </cell>
          <cell r="F14" t="str">
            <v>TRATAMIENTO SUPERFICIAL DE CODO, INSPECCIÓN, MANTENIMIENTO Y TRATAMIENTO SUPERFICIAL DE VÁLVULA DE VENTEO EN CODO DEL POZO INTERVENIDO.</v>
          </cell>
          <cell r="G14" t="str">
            <v>MMIM01</v>
          </cell>
          <cell r="H14" t="str">
            <v>NUM</v>
          </cell>
          <cell r="I14">
            <v>2</v>
          </cell>
          <cell r="J14">
            <v>8</v>
          </cell>
          <cell r="K14">
            <v>2</v>
          </cell>
          <cell r="L14">
            <v>32</v>
          </cell>
          <cell r="M14" t="str">
            <v>NO</v>
          </cell>
          <cell r="N14">
            <v>3</v>
          </cell>
          <cell r="O14">
            <v>0</v>
          </cell>
          <cell r="P14">
            <v>0</v>
          </cell>
          <cell r="Q14">
            <v>9</v>
          </cell>
          <cell r="R14">
            <v>0</v>
          </cell>
          <cell r="S14">
            <v>0</v>
          </cell>
          <cell r="T14">
            <v>1032.1695775163005</v>
          </cell>
          <cell r="U14"/>
          <cell r="V14">
            <v>0</v>
          </cell>
          <cell r="W14">
            <v>9289.5261976467045</v>
          </cell>
          <cell r="X14">
            <v>0</v>
          </cell>
          <cell r="Y14">
            <v>9289.5261976467045</v>
          </cell>
          <cell r="Z14">
            <v>0</v>
          </cell>
          <cell r="AA14">
            <v>1032.1695775163005</v>
          </cell>
          <cell r="AB14">
            <v>19.171538486527368</v>
          </cell>
          <cell r="AC14">
            <v>24</v>
          </cell>
          <cell r="AD14">
            <v>169.23012181937949</v>
          </cell>
          <cell r="AE14">
            <v>272.26858825335256</v>
          </cell>
          <cell r="AF14">
            <v>54.096938024963336</v>
          </cell>
          <cell r="AG14">
            <v>76.457005741948194</v>
          </cell>
          <cell r="AH14" t="str">
            <v>Mecánica</v>
          </cell>
          <cell r="AI14">
            <v>1032.1695775163005</v>
          </cell>
          <cell r="AJ14">
            <v>32</v>
          </cell>
          <cell r="AK14">
            <v>32.25529929738439</v>
          </cell>
        </row>
        <row r="15">
          <cell r="A15" t="str">
            <v>P110</v>
          </cell>
          <cell r="B15" t="str">
            <v>PREV</v>
          </cell>
          <cell r="C15" t="str">
            <v>PEOMMIM01MMLIMP002</v>
          </cell>
          <cell r="D15" t="str">
            <v>VENTANILLA</v>
          </cell>
          <cell r="E15" t="str">
            <v>Tratamiento superficial en contenedores BESS</v>
          </cell>
          <cell r="F15" t="str">
            <v>Tratamiento de superficie. Eliminiación de óxido en bandeja de inversores y exteriores más pintado de contenedor.</v>
          </cell>
          <cell r="G15" t="str">
            <v>MMIM01</v>
          </cell>
          <cell r="H15" t="str">
            <v>NUM</v>
          </cell>
          <cell r="I15">
            <v>1</v>
          </cell>
          <cell r="J15">
            <v>10</v>
          </cell>
          <cell r="K15">
            <v>4</v>
          </cell>
          <cell r="L15">
            <v>40</v>
          </cell>
          <cell r="M15" t="str">
            <v>NO</v>
          </cell>
          <cell r="N15">
            <v>1</v>
          </cell>
          <cell r="O15">
            <v>0</v>
          </cell>
          <cell r="P15">
            <v>0</v>
          </cell>
          <cell r="Q15">
            <v>3</v>
          </cell>
          <cell r="R15">
            <v>0</v>
          </cell>
          <cell r="S15">
            <v>0</v>
          </cell>
          <cell r="T15">
            <v>1720.2826291938354</v>
          </cell>
          <cell r="U15"/>
          <cell r="V15">
            <v>0</v>
          </cell>
          <cell r="W15">
            <v>5160.8478875815063</v>
          </cell>
          <cell r="X15">
            <v>0</v>
          </cell>
          <cell r="Y15">
            <v>5160.8478875815063</v>
          </cell>
          <cell r="Z15">
            <v>0</v>
          </cell>
          <cell r="AA15">
            <v>1720.2826291938354</v>
          </cell>
          <cell r="AB15">
            <v>19.171538486527368</v>
          </cell>
          <cell r="AC15">
            <v>40</v>
          </cell>
          <cell r="AD15">
            <v>282.05020303229963</v>
          </cell>
          <cell r="AE15">
            <v>453.78098042225508</v>
          </cell>
          <cell r="AF15">
            <v>90.161563374938964</v>
          </cell>
          <cell r="AG15">
            <v>127.42834290324707</v>
          </cell>
          <cell r="AH15" t="str">
            <v>Mecánica</v>
          </cell>
          <cell r="AI15">
            <v>1720.2826291938354</v>
          </cell>
          <cell r="AJ15">
            <v>40</v>
          </cell>
          <cell r="AK15">
            <v>43.007065729845884</v>
          </cell>
        </row>
        <row r="16">
          <cell r="A16" t="str">
            <v>C366</v>
          </cell>
          <cell r="B16" t="str">
            <v>COND</v>
          </cell>
          <cell r="C16" t="str">
            <v>PEOMMIM01MMTRAS002</v>
          </cell>
          <cell r="D16" t="str">
            <v>VENTANILLA</v>
          </cell>
          <cell r="E16" t="str">
            <v>TRASIEGO DE POZAS DE CONTENCION EN SKIT DE ACIDO SULFURICO Y CUARTO QUIMICO</v>
          </cell>
          <cell r="F16" t="str">
            <v>TRASIEGO DE POZAS DE CONTENCION EN SKIT DE ACIDO SULFURICO Y CUARTO QUIMICO
1. Retiro de tapa de concreto.
2. Instalacion de bomba sumergible de operaciones.
3. Bombeo a poza de torre de enfriamiento 1.         
4. Limpieza de bomba y manguera. 
5. Colocacion de tapa de cocreto.</v>
          </cell>
          <cell r="G16" t="str">
            <v>MMIM0100</v>
          </cell>
          <cell r="H16" t="str">
            <v>NUM</v>
          </cell>
          <cell r="I16">
            <v>1</v>
          </cell>
          <cell r="J16">
            <v>4</v>
          </cell>
          <cell r="K16">
            <v>2</v>
          </cell>
          <cell r="L16">
            <v>8</v>
          </cell>
          <cell r="M16" t="str">
            <v>NO</v>
          </cell>
          <cell r="N16">
            <v>2</v>
          </cell>
          <cell r="O16">
            <v>0</v>
          </cell>
          <cell r="P16">
            <v>0</v>
          </cell>
          <cell r="Q16">
            <v>6</v>
          </cell>
          <cell r="R16">
            <v>0</v>
          </cell>
          <cell r="S16">
            <v>0</v>
          </cell>
          <cell r="T16">
            <v>344.0565258387669</v>
          </cell>
          <cell r="U16"/>
          <cell r="V16">
            <v>0</v>
          </cell>
          <cell r="W16">
            <v>2064.3391550326014</v>
          </cell>
          <cell r="X16">
            <v>0</v>
          </cell>
          <cell r="Y16">
            <v>2064.3391550326014</v>
          </cell>
          <cell r="Z16">
            <v>0</v>
          </cell>
          <cell r="AA16">
            <v>344.0565258387669</v>
          </cell>
          <cell r="AB16">
            <v>19.171538486527368</v>
          </cell>
          <cell r="AC16">
            <v>8</v>
          </cell>
          <cell r="AD16">
            <v>56.410040606459859</v>
          </cell>
          <cell r="AE16">
            <v>90.756196084450906</v>
          </cell>
          <cell r="AF16">
            <v>18.032312674987782</v>
          </cell>
          <cell r="AG16">
            <v>25.485668580649399</v>
          </cell>
          <cell r="AH16" t="e">
            <v>#N/A</v>
          </cell>
          <cell r="AI16">
            <v>344.0565258387669</v>
          </cell>
          <cell r="AJ16">
            <v>8</v>
          </cell>
          <cell r="AK16">
            <v>43.007065729845863</v>
          </cell>
        </row>
        <row r="17">
          <cell r="A17" t="str">
            <v>C316</v>
          </cell>
          <cell r="B17" t="str">
            <v>COND</v>
          </cell>
          <cell r="C17" t="str">
            <v>WWOMMIM01062200200</v>
          </cell>
          <cell r="D17" t="str">
            <v>VENTANILLA, SANTA ROSA Y MALACAS</v>
          </cell>
          <cell r="E17" t="str">
            <v xml:space="preserve">PINTURA EN SUPERFICIE DE ACERO </v>
          </cell>
          <cell r="F17" t="str">
            <v>TRABAJOS DE PINTURA SOBRE SUPERFICIES DE DIFICIL ADHERENCIA ACERO COMÚN (KG. DE PINTURA)</v>
          </cell>
          <cell r="G17" t="str">
            <v>MMIM0100</v>
          </cell>
          <cell r="H17" t="str">
            <v>M2</v>
          </cell>
          <cell r="I17">
            <v>1</v>
          </cell>
          <cell r="J17">
            <v>1</v>
          </cell>
          <cell r="K17">
            <v>1</v>
          </cell>
          <cell r="L17">
            <v>1</v>
          </cell>
          <cell r="M17">
            <v>0</v>
          </cell>
          <cell r="N17">
            <v>120</v>
          </cell>
          <cell r="O17">
            <v>90</v>
          </cell>
          <cell r="P17">
            <v>90</v>
          </cell>
          <cell r="Q17">
            <v>360</v>
          </cell>
          <cell r="R17">
            <v>270</v>
          </cell>
          <cell r="S17">
            <v>270</v>
          </cell>
          <cell r="T17">
            <v>121.41876847438215</v>
          </cell>
          <cell r="U17">
            <v>121.41876847438215</v>
          </cell>
          <cell r="V17">
            <v>121.41876847438215</v>
          </cell>
          <cell r="W17">
            <v>43710.75665077757</v>
          </cell>
          <cell r="X17">
            <v>32783.067488083179</v>
          </cell>
          <cell r="Y17">
            <v>76493.824138860742</v>
          </cell>
          <cell r="Z17">
            <v>32783.067488083179</v>
          </cell>
          <cell r="AA17">
            <v>121.41876847438215</v>
          </cell>
          <cell r="AB17">
            <v>23.046503983524737</v>
          </cell>
          <cell r="AC17">
            <v>2.5</v>
          </cell>
          <cell r="AD17">
            <v>17.227342777041397</v>
          </cell>
          <cell r="AE17">
            <v>31.217515777757995</v>
          </cell>
          <cell r="AF17">
            <v>6.3636671108166736</v>
          </cell>
          <cell r="AG17">
            <v>8.993982849954234</v>
          </cell>
          <cell r="AH17" t="e">
            <v>#N/A</v>
          </cell>
          <cell r="AI17">
            <v>121.41876847438215</v>
          </cell>
          <cell r="AJ17">
            <v>1</v>
          </cell>
          <cell r="AK17">
            <v>121.41876847438215</v>
          </cell>
        </row>
        <row r="18">
          <cell r="A18" t="str">
            <v>M017</v>
          </cell>
          <cell r="B18" t="str">
            <v>MMAYOR</v>
          </cell>
          <cell r="C18" t="str">
            <v>PEOMMIM0100IATG7SR</v>
          </cell>
          <cell r="D18" t="str">
            <v>SANTA ROSA</v>
          </cell>
          <cell r="E18" t="str">
            <v>INSPECCIÓN ANUAL TURBINA TG7 SR</v>
          </cell>
          <cell r="F18" t="str">
            <v>TRABAJOS DE APOYO Y FACILIDADES PARA INSPECCIÓN ANUAL DE TURBINA DE ACUERDO AL ALCANCE DEFINIDO EN EL ANEXO 5 MANTENIMIENTOS MAYORES PLANIFICADOS EN CENTRALES TERMICAS.</v>
          </cell>
          <cell r="G18" t="str">
            <v>MMIM0100</v>
          </cell>
          <cell r="H18" t="str">
            <v>NUM</v>
          </cell>
          <cell r="I18"/>
          <cell r="J18"/>
          <cell r="K18">
            <v>11</v>
          </cell>
          <cell r="L18">
            <v>190</v>
          </cell>
          <cell r="M18" t="str">
            <v>SI</v>
          </cell>
          <cell r="N18">
            <v>0</v>
          </cell>
          <cell r="O18">
            <v>1</v>
          </cell>
          <cell r="P18">
            <v>0</v>
          </cell>
          <cell r="Q18">
            <v>0</v>
          </cell>
          <cell r="R18">
            <v>1</v>
          </cell>
          <cell r="S18">
            <v>0</v>
          </cell>
          <cell r="T18"/>
          <cell r="U18">
            <v>17960.459999999995</v>
          </cell>
          <cell r="V18"/>
          <cell r="W18">
            <v>0</v>
          </cell>
          <cell r="X18">
            <v>17960.459999999995</v>
          </cell>
          <cell r="Y18">
            <v>17960.459999999995</v>
          </cell>
          <cell r="Z18">
            <v>0</v>
          </cell>
          <cell r="AA18">
            <v>17960.459999999995</v>
          </cell>
          <cell r="AB18">
            <v>44.283357498834121</v>
          </cell>
          <cell r="AC18">
            <v>190</v>
          </cell>
          <cell r="AD18">
            <v>2587.0049313017312</v>
          </cell>
          <cell r="AE18">
            <v>4687.8888001042678</v>
          </cell>
          <cell r="AF18">
            <v>941.32389937106882</v>
          </cell>
          <cell r="AG18">
            <v>1330.4044444444442</v>
          </cell>
          <cell r="AH18">
            <v>0</v>
          </cell>
          <cell r="AI18">
            <v>10220.77</v>
          </cell>
          <cell r="AJ18">
            <v>190</v>
          </cell>
          <cell r="AK18">
            <v>53.793526315789478</v>
          </cell>
        </row>
        <row r="19">
          <cell r="A19" t="str">
            <v>M037</v>
          </cell>
          <cell r="B19" t="str">
            <v>MMAYOR</v>
          </cell>
          <cell r="C19" t="str">
            <v>PEOMMIM0100RGBTG6M</v>
          </cell>
          <cell r="D19" t="str">
            <v>MALACAS</v>
          </cell>
          <cell r="E19" t="str">
            <v>RETIRO Y MONTAJE DE CAJA DE ENGRANAJES (GEAR BOX)</v>
          </cell>
          <cell r="F19" t="str">
            <v>TRABAJOS DE APOYO Y FACILIDADES PARA EL REEMPLAZO DEL GEARBOX DE ACUERDO AL ALCANCE DEFINIDO EN EL ANEXO 5 MANTENIMIENTOS MAYORES PLANIFICADOS EN CENTRALES TERMICAS.</v>
          </cell>
          <cell r="G19" t="str">
            <v>MMIM0100</v>
          </cell>
          <cell r="H19" t="str">
            <v>NUM</v>
          </cell>
          <cell r="I19"/>
          <cell r="J19"/>
          <cell r="K19">
            <v>12</v>
          </cell>
          <cell r="L19">
            <v>1368</v>
          </cell>
          <cell r="M19"/>
          <cell r="N19">
            <v>0</v>
          </cell>
          <cell r="O19">
            <v>0</v>
          </cell>
          <cell r="P19">
            <v>1</v>
          </cell>
          <cell r="Q19">
            <v>0</v>
          </cell>
          <cell r="R19">
            <v>0</v>
          </cell>
          <cell r="S19">
            <v>1</v>
          </cell>
          <cell r="T19"/>
          <cell r="U19"/>
          <cell r="V19">
            <v>64551.62000000001</v>
          </cell>
          <cell r="W19">
            <v>0</v>
          </cell>
          <cell r="X19">
            <v>0</v>
          </cell>
          <cell r="Y19">
            <v>0</v>
          </cell>
          <cell r="Z19">
            <v>64551.62000000001</v>
          </cell>
          <cell r="AA19">
            <v>64551.62000000001</v>
          </cell>
          <cell r="AB19">
            <v>22.105367271502161</v>
          </cell>
          <cell r="AC19">
            <v>1368</v>
          </cell>
          <cell r="AD19">
            <v>9297.944443712222</v>
          </cell>
          <cell r="AE19">
            <v>16848.723052003508</v>
          </cell>
          <cell r="AF19">
            <v>3383.2085953878409</v>
          </cell>
          <cell r="AG19">
            <v>4781.6014814814826</v>
          </cell>
          <cell r="AH19" t="e">
            <v>#N/A</v>
          </cell>
          <cell r="AI19">
            <v>64551.62000000001</v>
          </cell>
          <cell r="AJ19">
            <v>1368</v>
          </cell>
          <cell r="AK19">
            <v>47.186856725146207</v>
          </cell>
        </row>
        <row r="20">
          <cell r="A20" t="str">
            <v>M035</v>
          </cell>
          <cell r="B20" t="str">
            <v>MMAYOR</v>
          </cell>
          <cell r="C20" t="str">
            <v>PEOMMIM0100IBOPTG6</v>
          </cell>
          <cell r="D20" t="str">
            <v>MALACAS</v>
          </cell>
          <cell r="E20" t="str">
            <v>INSPECCIÓ ANUAL BOP TG6 MAL</v>
          </cell>
          <cell r="F20" t="str">
            <v>TRABAJOS DE APOYO Y FACILIDADES DURANTE LA INSPECCIÓN ANUAL DE EQUIPOS BOP DE LA TURBINA TG6 DE ACUERDO AL ALCANCE DEFINIDO EN EL ANEXO 5 MANTENIMIENTOS MAYORES PLANIFICADOS EN CENTRALES TERMICAS.</v>
          </cell>
          <cell r="G20" t="str">
            <v>MMIM0100</v>
          </cell>
          <cell r="H20" t="str">
            <v>NUM</v>
          </cell>
          <cell r="I20"/>
          <cell r="J20"/>
          <cell r="K20">
            <v>12</v>
          </cell>
          <cell r="L20">
            <v>720</v>
          </cell>
          <cell r="M20"/>
          <cell r="N20">
            <v>0</v>
          </cell>
          <cell r="O20">
            <v>0</v>
          </cell>
          <cell r="P20">
            <v>1</v>
          </cell>
          <cell r="Q20">
            <v>0</v>
          </cell>
          <cell r="R20">
            <v>0</v>
          </cell>
          <cell r="S20">
            <v>1</v>
          </cell>
          <cell r="T20"/>
          <cell r="U20"/>
          <cell r="V20">
            <v>34671.42</v>
          </cell>
          <cell r="W20">
            <v>0</v>
          </cell>
          <cell r="X20">
            <v>0</v>
          </cell>
          <cell r="Y20">
            <v>0</v>
          </cell>
          <cell r="Z20">
            <v>34671.42</v>
          </cell>
          <cell r="AA20">
            <v>34671.42</v>
          </cell>
          <cell r="AB20">
            <v>22.55879091115855</v>
          </cell>
          <cell r="AC20">
            <v>720</v>
          </cell>
          <cell r="AD20">
            <v>4994.0332550075836</v>
          </cell>
          <cell r="AE20">
            <v>9049.6435782664357</v>
          </cell>
          <cell r="AF20">
            <v>1817.1603773584907</v>
          </cell>
          <cell r="AG20">
            <v>2568.2533333333336</v>
          </cell>
          <cell r="AH20" t="e">
            <v>#N/A</v>
          </cell>
          <cell r="AI20">
            <v>34671.42</v>
          </cell>
          <cell r="AJ20">
            <v>720</v>
          </cell>
          <cell r="AK20">
            <v>48.15475</v>
          </cell>
        </row>
        <row r="21">
          <cell r="A21" t="str">
            <v>M030</v>
          </cell>
          <cell r="B21" t="str">
            <v>MMAYOR</v>
          </cell>
          <cell r="C21" t="str">
            <v>PEOMMIM0100IBOPTG5</v>
          </cell>
          <cell r="D21" t="str">
            <v>MALACAS</v>
          </cell>
          <cell r="E21" t="str">
            <v>INSPECCIÓN ANUAL BOP TG5 MAL</v>
          </cell>
          <cell r="F21" t="str">
            <v>TRABAJOS DE APOYO Y FACILIDADES DURANTE LA INSPECCIÓN ANUAL DE EQUIPOS BOP DE LA TURBINA TG5 DE ACUERDO AL ALCANCE DEFINIDO EN EL ANEXO 5 MANTENIMIENTOS MAYORES PLANIFICADOS EN CENTRALES TERMICAS.</v>
          </cell>
          <cell r="G21" t="str">
            <v>MMIM0100</v>
          </cell>
          <cell r="H21" t="str">
            <v>NUM</v>
          </cell>
          <cell r="I21"/>
          <cell r="J21"/>
          <cell r="K21">
            <v>14</v>
          </cell>
          <cell r="L21">
            <v>840</v>
          </cell>
          <cell r="M21"/>
          <cell r="N21">
            <v>0</v>
          </cell>
          <cell r="O21">
            <v>0</v>
          </cell>
          <cell r="P21">
            <v>2</v>
          </cell>
          <cell r="Q21">
            <v>0</v>
          </cell>
          <cell r="R21">
            <v>0</v>
          </cell>
          <cell r="S21">
            <v>2</v>
          </cell>
          <cell r="T21"/>
          <cell r="U21"/>
          <cell r="V21">
            <v>38471.860000000008</v>
          </cell>
          <cell r="W21">
            <v>0</v>
          </cell>
          <cell r="X21">
            <v>0</v>
          </cell>
          <cell r="Y21">
            <v>0</v>
          </cell>
          <cell r="Z21">
            <v>76943.720000000016</v>
          </cell>
          <cell r="AA21">
            <v>38471.860000000008</v>
          </cell>
          <cell r="AB21">
            <v>21.455596050910373</v>
          </cell>
          <cell r="AC21">
            <v>840</v>
          </cell>
          <cell r="AD21">
            <v>5541.4444583462737</v>
          </cell>
          <cell r="AE21">
            <v>10041.602587749954</v>
          </cell>
          <cell r="AF21">
            <v>2016.3448637316567</v>
          </cell>
          <cell r="AG21">
            <v>2849.767407407408</v>
          </cell>
          <cell r="AH21" t="e">
            <v>#N/A</v>
          </cell>
          <cell r="AI21">
            <v>38471.860000000008</v>
          </cell>
          <cell r="AJ21">
            <v>840</v>
          </cell>
          <cell r="AK21">
            <v>45.799833333333339</v>
          </cell>
        </row>
        <row r="22">
          <cell r="A22" t="str">
            <v>M026</v>
          </cell>
          <cell r="B22" t="str">
            <v>MMAYOR</v>
          </cell>
          <cell r="C22" t="str">
            <v>PEOMMIM0100IZCG4MA</v>
          </cell>
          <cell r="D22" t="str">
            <v>MALACAS</v>
          </cell>
          <cell r="E22" t="str">
            <v>INSPECCION ZONA CALIENTE TG4 MAL</v>
          </cell>
          <cell r="F22" t="str">
            <v xml:space="preserve">TRABAJOS DE APOYO Y FACILIDADES DURANTE INSPECCION ZONA CALIENTE EN TURBINA CADA 4,000 HORAS DE ACUERDO AL ALCANCE DEFINIDO EN EL ANEXO 5 MANTENIMIENTOS MAYORES PLANIFICADOS EN CENTRALES TERMICAS.
</v>
          </cell>
          <cell r="G22" t="str">
            <v>MMIM0100</v>
          </cell>
          <cell r="H22" t="str">
            <v>NUM</v>
          </cell>
          <cell r="I22"/>
          <cell r="J22"/>
          <cell r="K22">
            <v>12</v>
          </cell>
          <cell r="L22">
            <v>576</v>
          </cell>
          <cell r="M22"/>
          <cell r="N22">
            <v>0</v>
          </cell>
          <cell r="O22">
            <v>0</v>
          </cell>
          <cell r="P22">
            <v>1</v>
          </cell>
          <cell r="Q22">
            <v>0</v>
          </cell>
          <cell r="R22">
            <v>0</v>
          </cell>
          <cell r="S22">
            <v>1</v>
          </cell>
          <cell r="T22"/>
          <cell r="U22"/>
          <cell r="V22">
            <v>33482.679999999993</v>
          </cell>
          <cell r="W22">
            <v>0</v>
          </cell>
          <cell r="X22">
            <v>0</v>
          </cell>
          <cell r="Y22">
            <v>0</v>
          </cell>
          <cell r="Z22">
            <v>33482.679999999993</v>
          </cell>
          <cell r="AA22">
            <v>33482.679999999993</v>
          </cell>
          <cell r="AB22">
            <v>27.23167875966827</v>
          </cell>
          <cell r="AC22">
            <v>576</v>
          </cell>
          <cell r="AD22">
            <v>4822.8084510751869</v>
          </cell>
          <cell r="AE22">
            <v>8739.3686224893572</v>
          </cell>
          <cell r="AF22">
            <v>1754.8574423480081</v>
          </cell>
          <cell r="AG22">
            <v>2480.1985185185181</v>
          </cell>
          <cell r="AH22" t="e">
            <v>#N/A</v>
          </cell>
          <cell r="AI22">
            <v>33482.679999999993</v>
          </cell>
          <cell r="AJ22">
            <v>576</v>
          </cell>
          <cell r="AK22">
            <v>58.129652777777764</v>
          </cell>
        </row>
        <row r="23">
          <cell r="A23" t="str">
            <v>M001</v>
          </cell>
          <cell r="B23" t="str">
            <v>MMAYOR</v>
          </cell>
          <cell r="C23" t="str">
            <v>PEOMMIM0100IRTTGVE</v>
          </cell>
          <cell r="D23" t="str">
            <v>VENTANILLA</v>
          </cell>
          <cell r="E23" t="str">
            <v>INSPECCION RAPIDA DE TURBINA TG VEN</v>
          </cell>
          <cell r="F23" t="str">
            <v>TRABAJOS DE APOYO Y FACILIDADES DURANTE INSPECCION RAPIDA DE TURBINA CADA 4,000 HORAS DE ACUERDO AL ALCANCE DEFINIDO EN EL ANEXO 5 MANTENIMIENTOS MAYORES PLANIFICADOS EN CENTRALES TERMICAS.</v>
          </cell>
          <cell r="G23" t="str">
            <v>MMIM0100</v>
          </cell>
          <cell r="H23" t="str">
            <v>NUM</v>
          </cell>
          <cell r="I23"/>
          <cell r="J23"/>
          <cell r="K23">
            <v>13</v>
          </cell>
          <cell r="L23">
            <v>302</v>
          </cell>
          <cell r="M23" t="str">
            <v>SI</v>
          </cell>
          <cell r="N23">
            <v>6</v>
          </cell>
          <cell r="O23">
            <v>0</v>
          </cell>
          <cell r="P23">
            <v>0</v>
          </cell>
          <cell r="Q23">
            <v>6</v>
          </cell>
          <cell r="R23">
            <v>0</v>
          </cell>
          <cell r="S23">
            <v>0</v>
          </cell>
          <cell r="T23">
            <v>17954.580000000002</v>
          </cell>
          <cell r="U23"/>
          <cell r="V23"/>
          <cell r="W23">
            <v>107727.48000000001</v>
          </cell>
          <cell r="X23">
            <v>0</v>
          </cell>
          <cell r="Y23">
            <v>107727.48000000001</v>
          </cell>
          <cell r="Z23">
            <v>0</v>
          </cell>
          <cell r="AA23">
            <v>17954.580000000002</v>
          </cell>
          <cell r="AB23">
            <v>27.851269382499492</v>
          </cell>
          <cell r="AC23">
            <v>302</v>
          </cell>
          <cell r="AD23">
            <v>2586.1579825601048</v>
          </cell>
          <cell r="AE23">
            <v>4686.3540517657193</v>
          </cell>
          <cell r="AF23">
            <v>941.01572327044028</v>
          </cell>
          <cell r="AG23">
            <v>1329.9688888888891</v>
          </cell>
          <cell r="AH23">
            <v>0</v>
          </cell>
          <cell r="AI23">
            <v>17954.580000000002</v>
          </cell>
          <cell r="AJ23">
            <v>302</v>
          </cell>
          <cell r="AK23">
            <v>59.452251655629148</v>
          </cell>
        </row>
        <row r="24">
          <cell r="A24" t="str">
            <v>M028</v>
          </cell>
          <cell r="B24" t="str">
            <v>MMAYOR</v>
          </cell>
          <cell r="C24" t="str">
            <v>PEOMMIM0100IBTG4MA</v>
          </cell>
          <cell r="D24" t="str">
            <v>MALACAS</v>
          </cell>
          <cell r="E24" t="str">
            <v>INSPECCION MENOR B TG4 MAL</v>
          </cell>
          <cell r="F24" t="str">
            <v>TRABAJOS DE APOYO Y FACILIDADES DURANTE INSPECCION MENOR TIPO B EN TURBINA CADA 16,000 HORAS DE ACUERDO AL ALCANCE DEFINIDO EN EL ANEXO 5 MANTENIMIENTOS MAYORES PLANIFICADOS EN CENTRALES TERMICAS.</v>
          </cell>
          <cell r="G24" t="str">
            <v>MMIM0100</v>
          </cell>
          <cell r="H24" t="str">
            <v>NUM</v>
          </cell>
          <cell r="I24"/>
          <cell r="J24"/>
          <cell r="K24">
            <v>14</v>
          </cell>
          <cell r="L24">
            <v>1008</v>
          </cell>
          <cell r="M24"/>
          <cell r="N24">
            <v>0</v>
          </cell>
          <cell r="O24">
            <v>0</v>
          </cell>
          <cell r="P24">
            <v>1</v>
          </cell>
          <cell r="Q24">
            <v>0</v>
          </cell>
          <cell r="R24">
            <v>0</v>
          </cell>
          <cell r="S24">
            <v>1</v>
          </cell>
          <cell r="T24"/>
          <cell r="U24"/>
          <cell r="V24">
            <v>45741.499999999971</v>
          </cell>
          <cell r="W24">
            <v>0</v>
          </cell>
          <cell r="X24">
            <v>0</v>
          </cell>
          <cell r="Y24">
            <v>0</v>
          </cell>
          <cell r="Z24">
            <v>45741.499999999971</v>
          </cell>
          <cell r="AA24">
            <v>45741.499999999971</v>
          </cell>
          <cell r="AB24">
            <v>21.25820332841365</v>
          </cell>
          <cell r="AC24">
            <v>1008</v>
          </cell>
          <cell r="AD24">
            <v>6588.5554192452792</v>
          </cell>
          <cell r="AE24">
            <v>11939.063116978587</v>
          </cell>
          <cell r="AF24">
            <v>2397.3532494758892</v>
          </cell>
          <cell r="AG24">
            <v>3388.2592592592573</v>
          </cell>
          <cell r="AH24">
            <v>0</v>
          </cell>
          <cell r="AI24">
            <v>45741.499999999971</v>
          </cell>
          <cell r="AJ24">
            <v>1008</v>
          </cell>
          <cell r="AK24">
            <v>45.378472222222193</v>
          </cell>
        </row>
        <row r="25">
          <cell r="A25" t="str">
            <v>M027</v>
          </cell>
          <cell r="B25" t="str">
            <v>MMAYOR</v>
          </cell>
          <cell r="C25" t="str">
            <v>PEOMMIM0100IATG4MA</v>
          </cell>
          <cell r="D25" t="str">
            <v>MALACAS</v>
          </cell>
          <cell r="E25" t="str">
            <v>INSPECCION MENOR A TG4 MAL</v>
          </cell>
          <cell r="F25" t="str">
            <v>TRABAJOS DE APOYO Y FACILIDADES DURANTE INSPECCION MENOR TIPO A EN TURBINA CADA 8,000 HORAS DE ACUERDO AL ALCANCE DEFINIDO EN EL ANEXO 5 MANTENIMIENTOS MAYORES PLANIFICADOS EN CENTRALES TERMICAS.</v>
          </cell>
          <cell r="G25" t="str">
            <v>MMIM0100</v>
          </cell>
          <cell r="H25" t="str">
            <v>NUM</v>
          </cell>
          <cell r="I25"/>
          <cell r="J25"/>
          <cell r="K25">
            <v>12</v>
          </cell>
          <cell r="L25">
            <v>720</v>
          </cell>
          <cell r="M25"/>
          <cell r="N25">
            <v>0</v>
          </cell>
          <cell r="O25">
            <v>0</v>
          </cell>
          <cell r="P25">
            <v>1</v>
          </cell>
          <cell r="Q25">
            <v>0</v>
          </cell>
          <cell r="R25">
            <v>0</v>
          </cell>
          <cell r="S25">
            <v>1</v>
          </cell>
          <cell r="T25"/>
          <cell r="U25"/>
          <cell r="V25">
            <v>37560.460000000014</v>
          </cell>
          <cell r="W25">
            <v>0</v>
          </cell>
          <cell r="X25">
            <v>0</v>
          </cell>
          <cell r="Y25">
            <v>0</v>
          </cell>
          <cell r="Z25">
            <v>37560.460000000014</v>
          </cell>
          <cell r="AA25">
            <v>37560.460000000014</v>
          </cell>
          <cell r="AB25">
            <v>24.438530745695854</v>
          </cell>
          <cell r="AC25">
            <v>720</v>
          </cell>
          <cell r="AD25">
            <v>5410.167403393988</v>
          </cell>
          <cell r="AE25">
            <v>9803.7165952745454</v>
          </cell>
          <cell r="AF25">
            <v>1968.5775681341727</v>
          </cell>
          <cell r="AG25">
            <v>2782.2562962962975</v>
          </cell>
          <cell r="AH25">
            <v>0</v>
          </cell>
          <cell r="AI25">
            <v>37560.460000000014</v>
          </cell>
          <cell r="AJ25">
            <v>720</v>
          </cell>
          <cell r="AK25">
            <v>52.167305555555572</v>
          </cell>
        </row>
        <row r="26">
          <cell r="A26" t="str">
            <v>M036</v>
          </cell>
          <cell r="B26" t="str">
            <v>MMAYOR</v>
          </cell>
          <cell r="C26" t="str">
            <v>PEOMMIM0100IATG6MA</v>
          </cell>
          <cell r="D26" t="str">
            <v>MALACAS</v>
          </cell>
          <cell r="E26" t="str">
            <v>INSPECCION TIPO A TG6 MAL</v>
          </cell>
          <cell r="F26" t="str">
            <v>TRABAJOS DE APOYO Y FACILIDADES DURANTE INSPECCION MENOR TIPO A EN TURBINA CADA 10,000 HORAS DE ACUERDO AL ALCANCE DEFINIDO EN EL ANEXO 5 MANTENIMIENTOS MAYORES PLANIFICADOS EN CENTRALES TERMICAS.</v>
          </cell>
          <cell r="G26" t="str">
            <v>MMIM0100</v>
          </cell>
          <cell r="H26" t="str">
            <v>NUM</v>
          </cell>
          <cell r="I26"/>
          <cell r="J26"/>
          <cell r="K26">
            <v>14</v>
          </cell>
          <cell r="L26">
            <v>840</v>
          </cell>
          <cell r="M26"/>
          <cell r="N26">
            <v>0</v>
          </cell>
          <cell r="O26">
            <v>0</v>
          </cell>
          <cell r="P26">
            <v>1</v>
          </cell>
          <cell r="Q26">
            <v>0</v>
          </cell>
          <cell r="R26">
            <v>0</v>
          </cell>
          <cell r="S26">
            <v>1</v>
          </cell>
          <cell r="T26"/>
          <cell r="U26"/>
          <cell r="V26">
            <v>38471.860000000008</v>
          </cell>
          <cell r="W26">
            <v>0</v>
          </cell>
          <cell r="X26">
            <v>0</v>
          </cell>
          <cell r="Y26">
            <v>0</v>
          </cell>
          <cell r="Z26">
            <v>38471.860000000008</v>
          </cell>
          <cell r="AA26">
            <v>38471.860000000008</v>
          </cell>
          <cell r="AB26">
            <v>21.455596050910373</v>
          </cell>
          <cell r="AC26">
            <v>840</v>
          </cell>
          <cell r="AD26">
            <v>5541.4444583462737</v>
          </cell>
          <cell r="AE26">
            <v>10041.602587749954</v>
          </cell>
          <cell r="AF26">
            <v>2016.3448637316567</v>
          </cell>
          <cell r="AG26">
            <v>2849.767407407408</v>
          </cell>
          <cell r="AH26" t="e">
            <v>#N/A</v>
          </cell>
          <cell r="AI26">
            <v>38471.860000000008</v>
          </cell>
          <cell r="AJ26">
            <v>840</v>
          </cell>
          <cell r="AK26">
            <v>45.799833333333339</v>
          </cell>
        </row>
        <row r="27">
          <cell r="A27" t="str">
            <v>M002</v>
          </cell>
          <cell r="B27" t="str">
            <v>MMAYOR</v>
          </cell>
          <cell r="C27" t="str">
            <v>PEOMMIM0100IMETGVE</v>
          </cell>
          <cell r="D27" t="str">
            <v>VENTANILLA</v>
          </cell>
          <cell r="E27" t="str">
            <v>INSPECCION MENOR DE TURBINA TG VEN</v>
          </cell>
          <cell r="F27" t="str">
            <v>TRABAJOS DE APOYO Y FACILIDADES DURANTE INSPECCION MENOR DE TURBINA CADA 8,333 HORAS DE ACUERDO AL ALCANCE DEFINIDO EN EL ANEXO 5 MANTENIMIENTOS MAYORES PLANIFICADOS EN CENTRALES TERMICAS.</v>
          </cell>
          <cell r="G27" t="str">
            <v>MMIM0100</v>
          </cell>
          <cell r="H27" t="str">
            <v>NUM</v>
          </cell>
          <cell r="I27"/>
          <cell r="J27"/>
          <cell r="K27">
            <v>12</v>
          </cell>
          <cell r="L27">
            <v>332</v>
          </cell>
          <cell r="M27" t="str">
            <v>SI</v>
          </cell>
          <cell r="N27">
            <v>4</v>
          </cell>
          <cell r="O27">
            <v>0</v>
          </cell>
          <cell r="P27">
            <v>0</v>
          </cell>
          <cell r="Q27">
            <v>4</v>
          </cell>
          <cell r="R27">
            <v>0</v>
          </cell>
          <cell r="S27">
            <v>0</v>
          </cell>
          <cell r="T27">
            <v>18508.28000000001</v>
          </cell>
          <cell r="U27"/>
          <cell r="V27"/>
          <cell r="W27">
            <v>74033.120000000039</v>
          </cell>
          <cell r="X27">
            <v>0</v>
          </cell>
          <cell r="Y27">
            <v>74033.120000000039</v>
          </cell>
          <cell r="Z27">
            <v>0</v>
          </cell>
          <cell r="AA27">
            <v>18508.28000000001</v>
          </cell>
          <cell r="AB27">
            <v>26.115879962371409</v>
          </cell>
          <cell r="AC27">
            <v>332</v>
          </cell>
          <cell r="AD27">
            <v>2665.9123223967144</v>
          </cell>
          <cell r="AE27">
            <v>4830.8761869792852</v>
          </cell>
          <cell r="AF27">
            <v>970.03563941299842</v>
          </cell>
          <cell r="AG27">
            <v>1370.9837037037046</v>
          </cell>
          <cell r="AH27">
            <v>0</v>
          </cell>
          <cell r="AI27">
            <v>18508.28000000001</v>
          </cell>
          <cell r="AJ27">
            <v>332</v>
          </cell>
          <cell r="AK27">
            <v>55.747831325301235</v>
          </cell>
        </row>
        <row r="28">
          <cell r="A28" t="str">
            <v>M007</v>
          </cell>
          <cell r="B28" t="str">
            <v>MMAYOR</v>
          </cell>
          <cell r="C28" t="str">
            <v>PEOMMIM0100IMETVVE</v>
          </cell>
          <cell r="D28" t="str">
            <v>VENTANILLA</v>
          </cell>
          <cell r="E28" t="str">
            <v>INSPECCION MENOR DE TURBINA TV VEN</v>
          </cell>
          <cell r="F28" t="str">
            <v>TRABAJOS DE APOYO Y FACILIDADES DURANTE INSPECCION MENOR DE TURBINA CADA 25,000 HORAS DE ACUERDO AL ALCANCE DEFINIDO EN EL ANEXO 5 MANTENIMIENTOS MAYORES PLANIFICADOS EN CENTRALES TERMICAS.</v>
          </cell>
          <cell r="G28" t="str">
            <v>MMIM0100</v>
          </cell>
          <cell r="H28" t="str">
            <v>NUM</v>
          </cell>
          <cell r="I28"/>
          <cell r="J28"/>
          <cell r="K28">
            <v>62</v>
          </cell>
          <cell r="L28">
            <v>4844</v>
          </cell>
          <cell r="M28" t="str">
            <v>SI</v>
          </cell>
          <cell r="N28">
            <v>1</v>
          </cell>
          <cell r="O28">
            <v>0</v>
          </cell>
          <cell r="P28">
            <v>0</v>
          </cell>
          <cell r="Q28">
            <v>1</v>
          </cell>
          <cell r="R28">
            <v>0</v>
          </cell>
          <cell r="S28">
            <v>0</v>
          </cell>
          <cell r="T28">
            <v>114186.66000000002</v>
          </cell>
          <cell r="U28"/>
          <cell r="V28"/>
          <cell r="W28">
            <v>114186.66000000002</v>
          </cell>
          <cell r="X28">
            <v>0</v>
          </cell>
          <cell r="Y28">
            <v>114186.66000000002</v>
          </cell>
          <cell r="Z28">
            <v>0</v>
          </cell>
          <cell r="AA28">
            <v>114186.66000000002</v>
          </cell>
          <cell r="AB28">
            <v>11.043021604912067</v>
          </cell>
          <cell r="AC28">
            <v>4844</v>
          </cell>
          <cell r="AD28">
            <v>16447.32108803864</v>
          </cell>
          <cell r="AE28">
            <v>29804.045360492695</v>
          </cell>
          <cell r="AF28">
            <v>5984.6257861635222</v>
          </cell>
          <cell r="AG28">
            <v>8458.271111111113</v>
          </cell>
          <cell r="AH28" t="e">
            <v>#N/A</v>
          </cell>
          <cell r="AI28">
            <v>160251.51</v>
          </cell>
          <cell r="AJ28">
            <v>4844</v>
          </cell>
          <cell r="AK28">
            <v>33.082475227085055</v>
          </cell>
        </row>
        <row r="29">
          <cell r="A29" t="str">
            <v>M004</v>
          </cell>
          <cell r="B29" t="str">
            <v>MMAYOR</v>
          </cell>
          <cell r="C29" t="str">
            <v>PEOMMIM0100IMATGVE</v>
          </cell>
          <cell r="D29" t="str">
            <v>VENTANILLA</v>
          </cell>
          <cell r="E29" t="str">
            <v>INSPECCION MAYOR DE TURBINA TG VEN</v>
          </cell>
          <cell r="F29" t="str">
            <v>TRABAJOS DE APOYO Y FACILIDADES DURANTE INSPECCION MAYOR DE TURBINA CADA 50,000 HORAS DE ACUERDO AL ALCANCE DEFINIDO EN EL ANEXO 5 MANTENIMIENTOS MAYORES PLANIFICADOS EN CENTRALES TERMICAS.</v>
          </cell>
          <cell r="G29" t="str">
            <v>MMIM0100</v>
          </cell>
          <cell r="H29" t="str">
            <v>NUM</v>
          </cell>
          <cell r="I29"/>
          <cell r="J29"/>
          <cell r="K29">
            <v>43</v>
          </cell>
          <cell r="L29">
            <v>9212</v>
          </cell>
          <cell r="M29" t="str">
            <v>SI</v>
          </cell>
          <cell r="N29">
            <v>1</v>
          </cell>
          <cell r="O29">
            <v>0</v>
          </cell>
          <cell r="P29">
            <v>0</v>
          </cell>
          <cell r="Q29">
            <v>1</v>
          </cell>
          <cell r="R29">
            <v>0</v>
          </cell>
          <cell r="S29">
            <v>0</v>
          </cell>
          <cell r="T29">
            <v>180103.41999999998</v>
          </cell>
          <cell r="U29"/>
          <cell r="V29"/>
          <cell r="W29">
            <v>180103.41999999998</v>
          </cell>
          <cell r="X29">
            <v>0</v>
          </cell>
          <cell r="Y29">
            <v>180103.41999999998</v>
          </cell>
          <cell r="Z29">
            <v>0</v>
          </cell>
          <cell r="AA29">
            <v>180103.41999999998</v>
          </cell>
          <cell r="AB29">
            <v>9.1589295169326252</v>
          </cell>
          <cell r="AC29">
            <v>9212</v>
          </cell>
          <cell r="AD29">
            <v>25941.898797932066</v>
          </cell>
          <cell r="AE29">
            <v>47009.085818429769</v>
          </cell>
          <cell r="AF29">
            <v>9439.382599580711</v>
          </cell>
          <cell r="AG29">
            <v>13340.994074074071</v>
          </cell>
          <cell r="AH29" t="e">
            <v>#N/A</v>
          </cell>
          <cell r="AI29">
            <v>311940.06</v>
          </cell>
          <cell r="AJ29">
            <v>9212</v>
          </cell>
          <cell r="AK29">
            <v>33.862359965262698</v>
          </cell>
        </row>
        <row r="30">
          <cell r="A30" t="str">
            <v>M024</v>
          </cell>
          <cell r="B30" t="str">
            <v>MMAYOR</v>
          </cell>
          <cell r="C30" t="str">
            <v>PEOMMIM0100IMATTG8</v>
          </cell>
          <cell r="D30" t="str">
            <v>SANTA ROSA</v>
          </cell>
          <cell r="E30" t="str">
            <v>INSPECCION MAYOR TURBINA TG8 SR</v>
          </cell>
          <cell r="F30" t="str">
            <v>TRABAJOS DE APOYO Y FACILIDADES DURANTE INSPECCION MAYOR DE TURBINA CADA 50,000 HORAS DE ACUERDO AL ALCANCE DEFINIDO EN EL ANEXO 5 MANTENIMIENTOS MAYORES PLANIFICADOS EN CENTRALES TERMICAS.</v>
          </cell>
          <cell r="G30" t="str">
            <v>MMIM0100</v>
          </cell>
          <cell r="H30" t="str">
            <v>NUM</v>
          </cell>
          <cell r="I30"/>
          <cell r="J30"/>
          <cell r="K30">
            <v>26</v>
          </cell>
          <cell r="L30">
            <v>9400</v>
          </cell>
          <cell r="M30" t="str">
            <v>SI</v>
          </cell>
          <cell r="N30">
            <v>0</v>
          </cell>
          <cell r="O30">
            <v>1</v>
          </cell>
          <cell r="P30">
            <v>0</v>
          </cell>
          <cell r="Q30">
            <v>0</v>
          </cell>
          <cell r="R30">
            <v>1</v>
          </cell>
          <cell r="S30">
            <v>0</v>
          </cell>
          <cell r="T30"/>
          <cell r="U30">
            <v>325088.53999999986</v>
          </cell>
          <cell r="V30"/>
          <cell r="W30">
            <v>0</v>
          </cell>
          <cell r="X30">
            <v>325088.53999999986</v>
          </cell>
          <cell r="Y30">
            <v>325088.53999999986</v>
          </cell>
          <cell r="Z30">
            <v>0</v>
          </cell>
          <cell r="AA30">
            <v>325088.53999999986</v>
          </cell>
          <cell r="AB30">
            <v>16.201323462542142</v>
          </cell>
          <cell r="AC30">
            <v>9400</v>
          </cell>
          <cell r="AD30">
            <v>46825.396236492859</v>
          </cell>
          <cell r="AE30">
            <v>84851.887184863241</v>
          </cell>
          <cell r="AF30">
            <v>17038.183438155131</v>
          </cell>
          <cell r="AG30">
            <v>24080.632592592585</v>
          </cell>
          <cell r="AH30" t="e">
            <v>#N/A</v>
          </cell>
          <cell r="AI30">
            <v>325088.53999999986</v>
          </cell>
          <cell r="AJ30">
            <v>9400</v>
          </cell>
          <cell r="AK30">
            <v>34.583887234042535</v>
          </cell>
        </row>
        <row r="31">
          <cell r="A31" t="str">
            <v>M006</v>
          </cell>
          <cell r="B31" t="str">
            <v>MMAYOR</v>
          </cell>
          <cell r="C31" t="str">
            <v>PEOMMIM0100IMAGEVE</v>
          </cell>
          <cell r="D31" t="str">
            <v>VENTANILLA</v>
          </cell>
          <cell r="E31" t="str">
            <v>INSPECCION MAYOR DE GENERADOR TG VEN</v>
          </cell>
          <cell r="F31" t="str">
            <v>TRABAJOS DE APOYO Y FACILIDADES DURANTE INSPECCION MAYOR DE GENERADOR CADA 50,000 HORAS DE ACUERDO AL ALCANCE DEFINIDO EN EL ANEXO 5 MANTENIMIENTOS MAYORES PLANIFICADOS EN CENTRALES TERMICAS.</v>
          </cell>
          <cell r="G31" t="str">
            <v>MMIM0100</v>
          </cell>
          <cell r="H31" t="str">
            <v>NUM</v>
          </cell>
          <cell r="I31"/>
          <cell r="J31"/>
          <cell r="K31">
            <v>32</v>
          </cell>
          <cell r="L31">
            <v>1052</v>
          </cell>
          <cell r="M31" t="str">
            <v>SI</v>
          </cell>
          <cell r="N31">
            <v>1</v>
          </cell>
          <cell r="O31">
            <v>0</v>
          </cell>
          <cell r="P31">
            <v>0</v>
          </cell>
          <cell r="Q31">
            <v>1</v>
          </cell>
          <cell r="R31">
            <v>0</v>
          </cell>
          <cell r="S31">
            <v>0</v>
          </cell>
          <cell r="T31">
            <v>57044.820000000007</v>
          </cell>
          <cell r="U31"/>
          <cell r="V31"/>
          <cell r="W31">
            <v>57044.820000000007</v>
          </cell>
          <cell r="X31">
            <v>0</v>
          </cell>
          <cell r="Y31">
            <v>57044.820000000007</v>
          </cell>
          <cell r="Z31">
            <v>0</v>
          </cell>
          <cell r="AA31">
            <v>57044.820000000007</v>
          </cell>
          <cell r="AB31">
            <v>25.402540983053257</v>
          </cell>
          <cell r="AC31">
            <v>1052</v>
          </cell>
          <cell r="AD31">
            <v>8216.6732169008865</v>
          </cell>
          <cell r="AE31">
            <v>14889.361006453291</v>
          </cell>
          <cell r="AF31">
            <v>2989.7704402515724</v>
          </cell>
          <cell r="AG31">
            <v>4225.5422222222223</v>
          </cell>
          <cell r="AH31">
            <v>0</v>
          </cell>
          <cell r="AI31">
            <v>57044.820000000007</v>
          </cell>
          <cell r="AJ31">
            <v>1052</v>
          </cell>
          <cell r="AK31">
            <v>54.225114068441073</v>
          </cell>
        </row>
        <row r="32">
          <cell r="A32" t="str">
            <v>M016</v>
          </cell>
          <cell r="B32" t="str">
            <v>MMAYOR</v>
          </cell>
          <cell r="C32" t="str">
            <v>PEOMMIM0100MSITLUT</v>
          </cell>
          <cell r="D32" t="str">
            <v>SANTA ROSA</v>
          </cell>
          <cell r="E32" t="str">
            <v>MANTENIMIENTO MAYOR TALLER (MSI) TL UTI</v>
          </cell>
          <cell r="F32" t="str">
            <v>TRABAJO DE APOYO Y FALICIDADES PARA DESMONTAJE Y MONTAJE DE TURBINA LIBRE CADA 12,000 HORAS DE ACUERDO AL ALCANCE DEFINIDO EN EL ANEXO 5 MANTENIMIENTOS MAYORES PLANIFICADOS EN CENTRALES TERMICAS.</v>
          </cell>
          <cell r="G32" t="str">
            <v>MMIM0100</v>
          </cell>
          <cell r="H32" t="str">
            <v>NUM</v>
          </cell>
          <cell r="I32"/>
          <cell r="J32"/>
          <cell r="K32">
            <v>14</v>
          </cell>
          <cell r="L32">
            <v>408</v>
          </cell>
          <cell r="M32" t="str">
            <v>SI</v>
          </cell>
          <cell r="N32">
            <v>0</v>
          </cell>
          <cell r="O32">
            <v>1</v>
          </cell>
          <cell r="P32">
            <v>0</v>
          </cell>
          <cell r="Q32">
            <v>0</v>
          </cell>
          <cell r="R32">
            <v>1</v>
          </cell>
          <cell r="S32">
            <v>0</v>
          </cell>
          <cell r="T32"/>
          <cell r="U32">
            <v>26156.200000000004</v>
          </cell>
          <cell r="V32"/>
          <cell r="W32">
            <v>0</v>
          </cell>
          <cell r="X32">
            <v>26156.200000000004</v>
          </cell>
          <cell r="Y32">
            <v>26156.200000000004</v>
          </cell>
          <cell r="Z32">
            <v>0</v>
          </cell>
          <cell r="AA32">
            <v>26156.200000000004</v>
          </cell>
          <cell r="AB32">
            <v>30.032478360484117</v>
          </cell>
          <cell r="AC32">
            <v>408</v>
          </cell>
          <cell r="AD32">
            <v>3767.5103190071077</v>
          </cell>
          <cell r="AE32">
            <v>6827.0721926547185</v>
          </cell>
          <cell r="AF32">
            <v>1370.8700209643607</v>
          </cell>
          <cell r="AG32">
            <v>1937.4962962962966</v>
          </cell>
          <cell r="AH32">
            <v>0</v>
          </cell>
          <cell r="AI32">
            <v>26156.200000000004</v>
          </cell>
          <cell r="AJ32">
            <v>408</v>
          </cell>
          <cell r="AK32">
            <v>64.108333333333348</v>
          </cell>
        </row>
        <row r="33">
          <cell r="A33" t="str">
            <v>M015</v>
          </cell>
          <cell r="B33" t="str">
            <v>MMAYOR</v>
          </cell>
          <cell r="C33" t="str">
            <v>PEOMMIM0100MSIGGUT</v>
          </cell>
          <cell r="D33" t="str">
            <v>SANTA ROSA</v>
          </cell>
          <cell r="E33" t="str">
            <v>INSPECCION MAYOR TALLER (MSI) GG UTI</v>
          </cell>
          <cell r="F33" t="str">
            <v>TRABAJO DE APOYO Y FALICIDADES PARA DESMONTAJE Y MONTAJE DE GENERADOR DE GAS CADA 8,000 HORAS DE ACUERDO AL ALCANCE DEFINIDO EN EL ANEXO 5 MANTENIMIENTOS MAYORES PLANIFICADOS EN CENTRALES TERMICAS.</v>
          </cell>
          <cell r="G33" t="str">
            <v>MMIM0100</v>
          </cell>
          <cell r="H33" t="str">
            <v>NUM</v>
          </cell>
          <cell r="I33"/>
          <cell r="J33"/>
          <cell r="K33">
            <v>14</v>
          </cell>
          <cell r="L33">
            <v>312</v>
          </cell>
          <cell r="M33" t="str">
            <v>SI</v>
          </cell>
          <cell r="N33">
            <v>0</v>
          </cell>
          <cell r="O33">
            <v>1</v>
          </cell>
          <cell r="P33">
            <v>0</v>
          </cell>
          <cell r="Q33">
            <v>0</v>
          </cell>
          <cell r="R33">
            <v>1</v>
          </cell>
          <cell r="S33">
            <v>0</v>
          </cell>
          <cell r="T33"/>
          <cell r="U33">
            <v>24070.759999999984</v>
          </cell>
          <cell r="V33"/>
          <cell r="W33">
            <v>0</v>
          </cell>
          <cell r="X33">
            <v>24070.759999999984</v>
          </cell>
          <cell r="Y33">
            <v>24070.759999999984</v>
          </cell>
          <cell r="Z33">
            <v>0</v>
          </cell>
          <cell r="AA33">
            <v>24070.759999999984</v>
          </cell>
          <cell r="AB33">
            <v>36.141976163165651</v>
          </cell>
          <cell r="AC33">
            <v>312</v>
          </cell>
          <cell r="AD33">
            <v>3467.1258319764875</v>
          </cell>
          <cell r="AE33">
            <v>6282.7481152485925</v>
          </cell>
          <cell r="AF33">
            <v>1261.5702306079656</v>
          </cell>
          <cell r="AG33">
            <v>1783.0192592592582</v>
          </cell>
          <cell r="AH33">
            <v>0</v>
          </cell>
          <cell r="AI33">
            <v>18273.419999999998</v>
          </cell>
          <cell r="AJ33">
            <v>312</v>
          </cell>
          <cell r="AK33">
            <v>58.568653846153843</v>
          </cell>
        </row>
        <row r="34">
          <cell r="A34" t="str">
            <v>M013</v>
          </cell>
          <cell r="B34" t="str">
            <v>MMAYOR</v>
          </cell>
          <cell r="C34" t="str">
            <v>PEOMMIM0100HSIUTSR</v>
          </cell>
          <cell r="D34" t="str">
            <v>SANTA ROSA</v>
          </cell>
          <cell r="E34" t="str">
            <v>INSPECCIÓN DE ZONA CALIENTE (HSI) UTI SR - 4 GGs</v>
          </cell>
          <cell r="F34" t="str">
            <v>TRABAJO DE APOYO Y FACILIDADES PARA ATENCIÓN DE LA INSPECCIÓN DE ZONA CALIENTE (HSI) DE ACUERDO AL ALCANCE DEFINIDO EN EL ANEXO 5 MANTENIMIENTOS MAYORES PLANIFICADOS EN CENTRALES TERMICAS.</v>
          </cell>
          <cell r="G34" t="str">
            <v>MMIM0100</v>
          </cell>
          <cell r="H34" t="str">
            <v>NUM</v>
          </cell>
          <cell r="I34"/>
          <cell r="J34"/>
          <cell r="K34">
            <v>20</v>
          </cell>
          <cell r="L34">
            <v>960</v>
          </cell>
          <cell r="M34" t="str">
            <v>SI</v>
          </cell>
          <cell r="N34">
            <v>0</v>
          </cell>
          <cell r="O34">
            <v>1</v>
          </cell>
          <cell r="P34">
            <v>0</v>
          </cell>
          <cell r="Q34">
            <v>0</v>
          </cell>
          <cell r="R34">
            <v>1</v>
          </cell>
          <cell r="S34">
            <v>0</v>
          </cell>
          <cell r="T34"/>
          <cell r="U34">
            <v>42732.9</v>
          </cell>
          <cell r="V34"/>
          <cell r="W34">
            <v>0</v>
          </cell>
          <cell r="X34">
            <v>42732.9</v>
          </cell>
          <cell r="Y34">
            <v>42732.9</v>
          </cell>
          <cell r="Z34">
            <v>0</v>
          </cell>
          <cell r="AA34">
            <v>42732.9</v>
          </cell>
          <cell r="AB34">
            <v>20.852965269250156</v>
          </cell>
          <cell r="AC34">
            <v>960</v>
          </cell>
          <cell r="AD34">
            <v>6155.1999797791277</v>
          </cell>
          <cell r="AE34">
            <v>11153.783550419968</v>
          </cell>
          <cell r="AF34">
            <v>2239.6698113207549</v>
          </cell>
          <cell r="AG34">
            <v>3165.4</v>
          </cell>
          <cell r="AH34" t="e">
            <v>#N/A</v>
          </cell>
          <cell r="AI34">
            <v>42732.9</v>
          </cell>
          <cell r="AJ34">
            <v>960</v>
          </cell>
          <cell r="AK34">
            <v>44.513437500000002</v>
          </cell>
        </row>
        <row r="35">
          <cell r="A35" t="str">
            <v>M012</v>
          </cell>
          <cell r="B35" t="str">
            <v>MMAYOR</v>
          </cell>
          <cell r="C35" t="str">
            <v>PEOMMIM0100IABOPTV</v>
          </cell>
          <cell r="D35" t="str">
            <v>VENTANILLA</v>
          </cell>
          <cell r="E35" t="str">
            <v xml:space="preserve"> INSPECCIÓN ANUAL BOP TV </v>
          </cell>
          <cell r="F35" t="str">
            <v>TRABAJO DE APOYO Y FACILIDADES PARA ATENCIÓN DE LA INSPECCION DE EQUIPOS DEL BOP DE LA TURBINA A VAPOR DE ACUERDO AL ALCANCE DEFINIDO EN EL ANEXO 5 MANTENIMIENTOS MAYORES PLANIFICADOS EN CENTRALES TERMICAS.</v>
          </cell>
          <cell r="G35" t="str">
            <v>MMIM0100</v>
          </cell>
          <cell r="H35" t="str">
            <v>NUM</v>
          </cell>
          <cell r="I35"/>
          <cell r="J35"/>
          <cell r="K35">
            <v>11</v>
          </cell>
          <cell r="L35">
            <v>608</v>
          </cell>
          <cell r="M35" t="str">
            <v>SI</v>
          </cell>
          <cell r="N35">
            <v>3</v>
          </cell>
          <cell r="O35">
            <v>0</v>
          </cell>
          <cell r="P35">
            <v>0</v>
          </cell>
          <cell r="Q35">
            <v>3</v>
          </cell>
          <cell r="R35">
            <v>0</v>
          </cell>
          <cell r="S35">
            <v>0</v>
          </cell>
          <cell r="T35">
            <v>34147.120000000017</v>
          </cell>
          <cell r="U35"/>
          <cell r="V35"/>
          <cell r="W35">
            <v>102441.36000000004</v>
          </cell>
          <cell r="X35">
            <v>0</v>
          </cell>
          <cell r="Y35">
            <v>102441.36000000004</v>
          </cell>
          <cell r="Z35">
            <v>0</v>
          </cell>
          <cell r="AA35">
            <v>34147.120000000017</v>
          </cell>
          <cell r="AB35">
            <v>26.310384076249797</v>
          </cell>
          <cell r="AC35">
            <v>608</v>
          </cell>
          <cell r="AD35">
            <v>4918.5136588791229</v>
          </cell>
          <cell r="AE35">
            <v>8912.7951847456443</v>
          </cell>
          <cell r="AF35">
            <v>1789.6813417190785</v>
          </cell>
          <cell r="AG35">
            <v>2529.4162962962978</v>
          </cell>
          <cell r="AH35" t="e">
            <v>#N/A</v>
          </cell>
          <cell r="AI35">
            <v>34147.120000000017</v>
          </cell>
          <cell r="AJ35">
            <v>608</v>
          </cell>
          <cell r="AK35">
            <v>56.163026315789502</v>
          </cell>
        </row>
        <row r="36">
          <cell r="A36" t="str">
            <v>P081</v>
          </cell>
          <cell r="B36" t="str">
            <v>PREV</v>
          </cell>
          <cell r="C36" t="str">
            <v>WWOMMIM01060100800</v>
          </cell>
          <cell r="D36" t="str">
            <v>VENTANILLA, SANTA ROSA Y MALACAS</v>
          </cell>
          <cell r="E36" t="str">
            <v>TOMA MUESTRAS ACEITE</v>
          </cell>
          <cell r="F36" t="str">
            <v>TOMA DE MUESTRA DE ACEITE DE LUBRICACIÓN O HIDRÁULICO DESDE PICAJE EXISTENTE. LIMPIEZA PREVIA DEL PUNTO DE TOMA E IDENTIFICACIÓN DEL RECIPIENTE. LIMPIEZA DE LA ZONA FINAL. TRASLADO DE LAS MUESTRAS HASTA EL PUNTO DE LA CENTRAL QUE SE INDIQUE. NO SE INCLUYE EL SUMINSITRO DE LOS RECIPIENTES PARA LA RECOGIDA DE MUESTRAS.</v>
          </cell>
          <cell r="G36" t="str">
            <v>MMIM0106</v>
          </cell>
          <cell r="H36" t="str">
            <v>NUM</v>
          </cell>
          <cell r="I36">
            <v>1</v>
          </cell>
          <cell r="J36">
            <v>0.5</v>
          </cell>
          <cell r="K36">
            <v>2</v>
          </cell>
          <cell r="L36">
            <v>1</v>
          </cell>
          <cell r="M36" t="str">
            <v>NO</v>
          </cell>
          <cell r="N36">
            <v>12</v>
          </cell>
          <cell r="O36">
            <v>24</v>
          </cell>
          <cell r="P36">
            <v>68</v>
          </cell>
          <cell r="Q36">
            <v>36</v>
          </cell>
          <cell r="R36">
            <v>72</v>
          </cell>
          <cell r="S36">
            <v>204</v>
          </cell>
          <cell r="T36">
            <v>43.966239324407368</v>
          </cell>
          <cell r="U36">
            <v>43.966239324407368</v>
          </cell>
          <cell r="V36">
            <v>43.966239324407368</v>
          </cell>
          <cell r="W36">
            <v>1582.7846156786652</v>
          </cell>
          <cell r="X36">
            <v>3165.5692313573304</v>
          </cell>
          <cell r="Y36">
            <v>4748.3538470359954</v>
          </cell>
          <cell r="Z36">
            <v>8969.1128221791023</v>
          </cell>
          <cell r="AA36">
            <v>43.966239324407368</v>
          </cell>
          <cell r="AB36">
            <v>19.171538486527368</v>
          </cell>
          <cell r="AC36">
            <v>1</v>
          </cell>
          <cell r="AD36">
            <v>6.8396189704104176</v>
          </cell>
          <cell r="AE36">
            <v>12.394013161866688</v>
          </cell>
          <cell r="AF36">
            <v>2.3043102371282687</v>
          </cell>
          <cell r="AG36">
            <v>3.2567584684746196</v>
          </cell>
          <cell r="AH36" t="str">
            <v>Mecánica</v>
          </cell>
          <cell r="AI36">
            <v>43.966239324407368</v>
          </cell>
          <cell r="AJ36">
            <v>1</v>
          </cell>
          <cell r="AK36">
            <v>43.966239324407368</v>
          </cell>
        </row>
        <row r="37">
          <cell r="A37" t="str">
            <v>C175</v>
          </cell>
          <cell r="B37" t="str">
            <v>COND</v>
          </cell>
          <cell r="C37" t="str">
            <v>WWOMMIM01060100800</v>
          </cell>
          <cell r="D37" t="str">
            <v>VENTANILLA, SANTA ROSA Y MALACAS</v>
          </cell>
          <cell r="E37" t="str">
            <v>TOMA MUESTRAS ACEITE</v>
          </cell>
          <cell r="F37" t="str">
            <v>TOMA DE MUESTRA DE ACEITE DE LUBRICACIÓN O HIDRÁULICO DESDE PICAJE EXISTENTE. LIMPIEZA PREVIA DEL PUNTO DE TOMA E IDENTIFICACIÓN DEL RECIPIENTE. LIMPIEZA DE LA ZONA FINAL. TRASLADO DE LAS MUESTRAS HASTA EL PUNTO DE LA CENTRAL QUE SE INDIQUE. NO SE INCLUYE EL SUMINSITRO DE LOS RECIPIENTES PARA LA RECOGIDA DE MUESTRAS.</v>
          </cell>
          <cell r="G37" t="str">
            <v>MMIM0100</v>
          </cell>
          <cell r="H37" t="str">
            <v>NUM</v>
          </cell>
          <cell r="I37">
            <v>1</v>
          </cell>
          <cell r="J37">
            <v>0.5</v>
          </cell>
          <cell r="K37">
            <v>2</v>
          </cell>
          <cell r="L37">
            <v>1</v>
          </cell>
          <cell r="M37" t="str">
            <v>NO</v>
          </cell>
          <cell r="N37">
            <v>1</v>
          </cell>
          <cell r="O37">
            <v>1</v>
          </cell>
          <cell r="P37">
            <v>1</v>
          </cell>
          <cell r="Q37">
            <v>3</v>
          </cell>
          <cell r="R37">
            <v>3</v>
          </cell>
          <cell r="S37">
            <v>3</v>
          </cell>
          <cell r="T37">
            <v>42.817008821628171</v>
          </cell>
          <cell r="U37">
            <v>42.817008821628171</v>
          </cell>
          <cell r="V37">
            <v>42.817008821628171</v>
          </cell>
          <cell r="W37">
            <v>128.45102646488451</v>
          </cell>
          <cell r="X37">
            <v>128.45102646488451</v>
          </cell>
          <cell r="Y37">
            <v>256.90205292976901</v>
          </cell>
          <cell r="Z37">
            <v>128.45102646488451</v>
          </cell>
          <cell r="AA37">
            <v>42.817008821628171</v>
          </cell>
          <cell r="AB37">
            <v>19.171538486527368</v>
          </cell>
          <cell r="AC37">
            <v>1</v>
          </cell>
          <cell r="AD37">
            <v>6.9876191645819343</v>
          </cell>
          <cell r="AE37">
            <v>11.242142856951647</v>
          </cell>
          <cell r="AF37">
            <v>2.2440780304836569</v>
          </cell>
          <cell r="AG37">
            <v>3.1716302830835685</v>
          </cell>
          <cell r="AH37" t="str">
            <v>Mecánica</v>
          </cell>
          <cell r="AI37">
            <v>42.817008821628171</v>
          </cell>
          <cell r="AJ37">
            <v>1</v>
          </cell>
          <cell r="AK37">
            <v>42.817008821628171</v>
          </cell>
        </row>
        <row r="38">
          <cell r="A38" t="str">
            <v>C321</v>
          </cell>
          <cell r="B38" t="str">
            <v>COND</v>
          </cell>
          <cell r="C38" t="str">
            <v>WWOMMIM01062500100</v>
          </cell>
          <cell r="D38" t="str">
            <v>VENTANILLA, SANTA ROSA Y MALACAS</v>
          </cell>
          <cell r="E38" t="str">
            <v>SERVICIO DE APOYO DESCARGA CAMIONES</v>
          </cell>
          <cell r="F38" t="str">
            <v>TAREAS DE APOYO EN LA DESCARGA DE CAMIÓN CISTERNA INCLUYENDO, TRASLADO DE MANGUERA HASTA EL PUNTO DE DESGARCA, CONEXIÓN DE MANGUERAS Y PUESTA A TIERRA SI PROCEDE. VERIFCIACIÓN DE LA AUSENCIADE FUGAS DURANTE LA DESCARGAS. VERIFICACIÓN DEL CORECTO FUNCIÓNAMEINTO DE LAS BOMBAS DE DESCARGA</v>
          </cell>
          <cell r="G38" t="str">
            <v>MMIM0100</v>
          </cell>
          <cell r="H38" t="str">
            <v>NUM</v>
          </cell>
          <cell r="I38">
            <v>1</v>
          </cell>
          <cell r="J38">
            <v>15</v>
          </cell>
          <cell r="K38">
            <v>3</v>
          </cell>
          <cell r="L38">
            <v>45</v>
          </cell>
          <cell r="M38" t="str">
            <v>SI</v>
          </cell>
          <cell r="N38">
            <v>4</v>
          </cell>
          <cell r="O38">
            <v>3</v>
          </cell>
          <cell r="P38">
            <v>3</v>
          </cell>
          <cell r="Q38">
            <v>12</v>
          </cell>
          <cell r="R38">
            <v>9</v>
          </cell>
          <cell r="S38">
            <v>9</v>
          </cell>
          <cell r="T38">
            <v>1995.8100946701438</v>
          </cell>
          <cell r="U38">
            <v>1995.8100946701438</v>
          </cell>
          <cell r="V38">
            <v>1995.8100946701438</v>
          </cell>
          <cell r="W38">
            <v>23949.721136041728</v>
          </cell>
          <cell r="X38">
            <v>17962.290852031296</v>
          </cell>
          <cell r="Y38">
            <v>41912.01198807302</v>
          </cell>
          <cell r="Z38">
            <v>17962.290852031296</v>
          </cell>
          <cell r="AA38">
            <v>1995.8100946701438</v>
          </cell>
          <cell r="AB38">
            <v>20.463193652193159</v>
          </cell>
          <cell r="AC38">
            <v>45</v>
          </cell>
          <cell r="AD38">
            <v>315.28119536272698</v>
          </cell>
          <cell r="AE38">
            <v>507.2451939487346</v>
          </cell>
          <cell r="AF38">
            <v>104.60220621960922</v>
          </cell>
          <cell r="AG38">
            <v>147.83778479038102</v>
          </cell>
          <cell r="AH38" t="str">
            <v>Mecánica</v>
          </cell>
          <cell r="AI38">
            <v>1995.8100946701438</v>
          </cell>
          <cell r="AJ38">
            <v>45</v>
          </cell>
          <cell r="AK38">
            <v>44.351335437114308</v>
          </cell>
        </row>
        <row r="39">
          <cell r="A39" t="str">
            <v>C069</v>
          </cell>
          <cell r="B39" t="str">
            <v>COND</v>
          </cell>
          <cell r="C39" t="str">
            <v>WWOLEII09080500400</v>
          </cell>
          <cell r="D39" t="str">
            <v>VENTANILLA, SANTA ROSA Y MALACAS</v>
          </cell>
          <cell r="E39" t="str">
            <v>REVISIÓN COMPLETA EQUIPO ALUMBRADO CARRE</v>
          </cell>
          <cell r="F39" t="str">
            <v>SUSTITUCIÓN DEL REACTOR (MECANICO O ELECTRONICO), SUSTITUCIÓN DE BATERIA EN LAMPARA DE EMERGENCIA. VALE PER ILLUMINAZIONE STRADALE E TORRI FARO SUPERIORI A 4M. ESCLUSO NOLEGGIO DI MEZZI DI ELEVAZIONE</v>
          </cell>
          <cell r="G39" t="str">
            <v>LEII0900</v>
          </cell>
          <cell r="H39" t="str">
            <v>NUM</v>
          </cell>
          <cell r="I39">
            <v>1</v>
          </cell>
          <cell r="J39">
            <v>2</v>
          </cell>
          <cell r="K39">
            <v>2</v>
          </cell>
          <cell r="L39">
            <v>4</v>
          </cell>
          <cell r="M39" t="str">
            <v>SI</v>
          </cell>
          <cell r="N39">
            <v>4</v>
          </cell>
          <cell r="O39">
            <v>3</v>
          </cell>
          <cell r="P39">
            <v>3</v>
          </cell>
          <cell r="Q39">
            <v>12</v>
          </cell>
          <cell r="R39">
            <v>9</v>
          </cell>
          <cell r="S39">
            <v>9</v>
          </cell>
          <cell r="T39">
            <v>155.72666762421903</v>
          </cell>
          <cell r="U39">
            <v>155.72666762421903</v>
          </cell>
          <cell r="V39">
            <v>155.72666762421903</v>
          </cell>
          <cell r="W39">
            <v>1868.7200114906284</v>
          </cell>
          <cell r="X39">
            <v>1401.5400086179714</v>
          </cell>
          <cell r="Y39">
            <v>3270.2600201085997</v>
          </cell>
          <cell r="Z39">
            <v>1401.5400086179714</v>
          </cell>
          <cell r="AA39">
            <v>155.72666762421903</v>
          </cell>
          <cell r="AB39">
            <v>23.057832511738386</v>
          </cell>
          <cell r="AC39">
            <v>4</v>
          </cell>
          <cell r="AD39">
            <v>16.788234398656012</v>
          </cell>
          <cell r="AE39">
            <v>27.010019432988457</v>
          </cell>
          <cell r="AF39">
            <v>8.161775032715882</v>
          </cell>
          <cell r="AG39">
            <v>11.535308712905115</v>
          </cell>
          <cell r="AH39" t="str">
            <v>Electricidad</v>
          </cell>
          <cell r="AI39">
            <v>155.72666762421903</v>
          </cell>
          <cell r="AJ39">
            <v>4</v>
          </cell>
          <cell r="AK39">
            <v>38.931666906054758</v>
          </cell>
        </row>
        <row r="40">
          <cell r="A40" t="str">
            <v>C147</v>
          </cell>
          <cell r="B40" t="str">
            <v>COND</v>
          </cell>
          <cell r="C40" t="str">
            <v>WWOLEII09081200600</v>
          </cell>
          <cell r="D40" t="str">
            <v>VENTANILLA, SANTA ROSA Y MALACAS</v>
          </cell>
          <cell r="E40" t="str">
            <v>POWER CENTER: SUST COMMUTADOR EXTRAIB</v>
          </cell>
          <cell r="F40" t="str">
            <v>SUSTITUCIÓN DEL CONMUTADOR POR UNO SUMINISTRADO POR LA PROPIEDAD (INCLUIDO EL MONTAJE Y DESMONTAJE), INCLUIDAS LAS PRUEBAS FUNCIÓNALES Y AJUSTE DE RELAY DE PROTECCIÓNES.</v>
          </cell>
          <cell r="G40" t="str">
            <v>LEII0900</v>
          </cell>
          <cell r="H40" t="str">
            <v>NUM</v>
          </cell>
          <cell r="I40">
            <v>1</v>
          </cell>
          <cell r="J40">
            <v>4</v>
          </cell>
          <cell r="K40">
            <v>2</v>
          </cell>
          <cell r="L40">
            <v>8</v>
          </cell>
          <cell r="M40" t="str">
            <v>NO</v>
          </cell>
          <cell r="N40">
            <v>4</v>
          </cell>
          <cell r="O40">
            <v>3</v>
          </cell>
          <cell r="P40">
            <v>3</v>
          </cell>
          <cell r="Q40">
            <v>12</v>
          </cell>
          <cell r="R40">
            <v>9</v>
          </cell>
          <cell r="S40">
            <v>9</v>
          </cell>
          <cell r="T40">
            <v>340.4644090296909</v>
          </cell>
          <cell r="U40">
            <v>340.4644090296909</v>
          </cell>
          <cell r="V40">
            <v>340.4644090296909</v>
          </cell>
          <cell r="W40">
            <v>4085.572908356291</v>
          </cell>
          <cell r="X40">
            <v>3064.1796812672183</v>
          </cell>
          <cell r="Y40">
            <v>7149.7525896235093</v>
          </cell>
          <cell r="Z40">
            <v>3064.1796812672183</v>
          </cell>
          <cell r="AA40">
            <v>340.4644090296909</v>
          </cell>
          <cell r="AB40">
            <v>19.160296713371157</v>
          </cell>
          <cell r="AC40">
            <v>8</v>
          </cell>
          <cell r="AD40">
            <v>55.241780594859769</v>
          </cell>
          <cell r="AE40">
            <v>88.876622278963183</v>
          </cell>
          <cell r="AF40">
            <v>17.84404659484753</v>
          </cell>
          <cell r="AG40">
            <v>25.219585854051179</v>
          </cell>
          <cell r="AH40" t="str">
            <v>Electricidad</v>
          </cell>
          <cell r="AI40">
            <v>340.4644090296909</v>
          </cell>
          <cell r="AJ40">
            <v>8</v>
          </cell>
          <cell r="AK40">
            <v>42.558051128711362</v>
          </cell>
        </row>
        <row r="41">
          <cell r="A41" t="str">
            <v>C148</v>
          </cell>
          <cell r="B41" t="str">
            <v>COND</v>
          </cell>
          <cell r="C41" t="str">
            <v>WWOLEII09081200700</v>
          </cell>
          <cell r="D41" t="str">
            <v>VENTANILLA, SANTA ROSA Y MALACAS</v>
          </cell>
          <cell r="E41" t="str">
            <v>POWER CENTER: SUST COMMUTADOR NO EXTRAIB</v>
          </cell>
          <cell r="F41" t="str">
            <v>SUSTITUCIÓN DEL CONMUTADOR POR UNO SUMINISTRADO POR LA PROPIEDAD (INCLUIDO EL MONTAJE Y DESMONTAJE), INCLUIDAS LAS PRUEBAS FUNCIÓNALES Y AJUSTE DE RELAY DE PROTECCIÓNES.</v>
          </cell>
          <cell r="G41" t="str">
            <v>LEII0900</v>
          </cell>
          <cell r="H41" t="str">
            <v>NUM</v>
          </cell>
          <cell r="I41">
            <v>1</v>
          </cell>
          <cell r="J41">
            <v>4</v>
          </cell>
          <cell r="K41">
            <v>2</v>
          </cell>
          <cell r="L41">
            <v>8</v>
          </cell>
          <cell r="M41" t="str">
            <v>NO</v>
          </cell>
          <cell r="N41">
            <v>4</v>
          </cell>
          <cell r="O41">
            <v>3</v>
          </cell>
          <cell r="P41">
            <v>3</v>
          </cell>
          <cell r="Q41">
            <v>12</v>
          </cell>
          <cell r="R41">
            <v>9</v>
          </cell>
          <cell r="S41">
            <v>9</v>
          </cell>
          <cell r="T41">
            <v>384.89734863721918</v>
          </cell>
          <cell r="U41">
            <v>384.89734863721918</v>
          </cell>
          <cell r="V41">
            <v>384.89734863721918</v>
          </cell>
          <cell r="W41">
            <v>4618.76818364663</v>
          </cell>
          <cell r="X41">
            <v>3464.0761377349727</v>
          </cell>
          <cell r="Y41">
            <v>8082.8443213816026</v>
          </cell>
          <cell r="Z41">
            <v>3464.0761377349727</v>
          </cell>
          <cell r="AA41">
            <v>384.89734863721918</v>
          </cell>
          <cell r="AB41">
            <v>23.057832511738386</v>
          </cell>
          <cell r="AC41">
            <v>8</v>
          </cell>
          <cell r="AD41">
            <v>58.167401901955209</v>
          </cell>
          <cell r="AE41">
            <v>93.583554912959471</v>
          </cell>
          <cell r="AF41">
            <v>20.172817014529308</v>
          </cell>
          <cell r="AG41">
            <v>28.51091471386809</v>
          </cell>
          <cell r="AH41" t="str">
            <v>Electricidad</v>
          </cell>
          <cell r="AI41">
            <v>384.89734863721918</v>
          </cell>
          <cell r="AJ41">
            <v>8</v>
          </cell>
          <cell r="AK41">
            <v>48.112168579652398</v>
          </cell>
        </row>
        <row r="42">
          <cell r="A42" t="str">
            <v>C145</v>
          </cell>
          <cell r="B42" t="str">
            <v>COND</v>
          </cell>
          <cell r="C42" t="str">
            <v>WWOLEII09081200300</v>
          </cell>
          <cell r="D42" t="str">
            <v>VENTANILLA, SANTA ROSA Y MALACAS</v>
          </cell>
          <cell r="E42" t="str">
            <v>MCC: SUSTITUCIÓN DE CAJÓN</v>
          </cell>
          <cell r="F42" t="str">
            <v>SUSTITUCIÓN DEL CAJÓN POR UNO SUMINISTRADO POR LA PROPIEDAD</v>
          </cell>
          <cell r="G42" t="str">
            <v>LEII0900</v>
          </cell>
          <cell r="H42" t="str">
            <v>NUM</v>
          </cell>
          <cell r="I42">
            <v>1</v>
          </cell>
          <cell r="J42">
            <v>2</v>
          </cell>
          <cell r="K42">
            <v>2</v>
          </cell>
          <cell r="L42">
            <v>4</v>
          </cell>
          <cell r="M42" t="str">
            <v>NO</v>
          </cell>
          <cell r="N42">
            <v>4</v>
          </cell>
          <cell r="O42">
            <v>3</v>
          </cell>
          <cell r="P42">
            <v>3</v>
          </cell>
          <cell r="Q42">
            <v>12</v>
          </cell>
          <cell r="R42">
            <v>9</v>
          </cell>
          <cell r="S42">
            <v>9</v>
          </cell>
          <cell r="T42">
            <v>192.44867431860953</v>
          </cell>
          <cell r="U42">
            <v>192.44867431860953</v>
          </cell>
          <cell r="V42">
            <v>192.44867431860953</v>
          </cell>
          <cell r="W42">
            <v>2309.3840918233145</v>
          </cell>
          <cell r="X42">
            <v>1732.0380688674859</v>
          </cell>
          <cell r="Y42">
            <v>4041.4221606908004</v>
          </cell>
          <cell r="Z42">
            <v>1732.0380688674859</v>
          </cell>
          <cell r="AA42">
            <v>192.44867431860953</v>
          </cell>
          <cell r="AB42">
            <v>23.057832511738386</v>
          </cell>
          <cell r="AC42">
            <v>4</v>
          </cell>
          <cell r="AD42">
            <v>29.083700950977594</v>
          </cell>
          <cell r="AE42">
            <v>46.791777456479714</v>
          </cell>
          <cell r="AF42">
            <v>10.08640850726465</v>
          </cell>
          <cell r="AG42">
            <v>14.255457356934039</v>
          </cell>
          <cell r="AH42" t="str">
            <v>Electricidad</v>
          </cell>
          <cell r="AI42">
            <v>192.44867431860953</v>
          </cell>
          <cell r="AJ42">
            <v>4</v>
          </cell>
          <cell r="AK42">
            <v>48.112168579652383</v>
          </cell>
        </row>
        <row r="43">
          <cell r="A43" t="str">
            <v>C161</v>
          </cell>
          <cell r="B43" t="str">
            <v>COND</v>
          </cell>
          <cell r="C43" t="str">
            <v>WWOLEII09081700400</v>
          </cell>
          <cell r="D43" t="str">
            <v>VENTANILLA, SANTA ROSA Y MALACAS</v>
          </cell>
          <cell r="E43" t="str">
            <v>SUSTITUCIÓN BOTELLA CO2</v>
          </cell>
          <cell r="F43" t="str">
            <v>SUSTITUCIÓN DE UNA BOTELLA DE CO2 EN SCI. INCLUYE TODOS LOS MEDIOS DE ELEVACIÓN Y TRANSPORTE.</v>
          </cell>
          <cell r="G43" t="str">
            <v>LEII0900</v>
          </cell>
          <cell r="H43" t="str">
            <v>NUM</v>
          </cell>
          <cell r="I43">
            <v>1</v>
          </cell>
          <cell r="J43">
            <v>4</v>
          </cell>
          <cell r="K43">
            <v>2</v>
          </cell>
          <cell r="L43">
            <v>8</v>
          </cell>
          <cell r="M43" t="str">
            <v>SI</v>
          </cell>
          <cell r="N43">
            <v>4</v>
          </cell>
          <cell r="O43">
            <v>3</v>
          </cell>
          <cell r="P43">
            <v>3</v>
          </cell>
          <cell r="Q43">
            <v>12</v>
          </cell>
          <cell r="R43">
            <v>9</v>
          </cell>
          <cell r="S43">
            <v>9</v>
          </cell>
          <cell r="T43">
            <v>378.77307852351817</v>
          </cell>
          <cell r="U43">
            <v>378.77307852351817</v>
          </cell>
          <cell r="V43">
            <v>378.77307852351817</v>
          </cell>
          <cell r="W43">
            <v>4545.2769422822184</v>
          </cell>
          <cell r="X43">
            <v>3408.9577067116634</v>
          </cell>
          <cell r="Y43">
            <v>7954.2346489938818</v>
          </cell>
          <cell r="Z43">
            <v>3408.9577067116634</v>
          </cell>
          <cell r="AA43">
            <v>378.77307852351817</v>
          </cell>
          <cell r="AB43">
            <v>23.466564118731693</v>
          </cell>
          <cell r="AC43">
            <v>8</v>
          </cell>
          <cell r="AD43">
            <v>54.863477962579829</v>
          </cell>
          <cell r="AE43">
            <v>88.267984038228946</v>
          </cell>
          <cell r="AF43">
            <v>19.851838497039736</v>
          </cell>
          <cell r="AG43">
            <v>28.057265075816161</v>
          </cell>
          <cell r="AH43" t="str">
            <v>Instrumentación</v>
          </cell>
          <cell r="AI43">
            <v>378.77307852351817</v>
          </cell>
          <cell r="AJ43">
            <v>8</v>
          </cell>
          <cell r="AK43">
            <v>47.346634815439771</v>
          </cell>
        </row>
        <row r="44">
          <cell r="A44" t="str">
            <v>C158</v>
          </cell>
          <cell r="B44" t="str">
            <v>COND</v>
          </cell>
          <cell r="C44" t="str">
            <v>WWOLEII09081700200</v>
          </cell>
          <cell r="D44" t="str">
            <v>VENTANILLA, SANTA ROSA Y MALACAS</v>
          </cell>
          <cell r="E44" t="str">
            <v xml:space="preserve">CORRECTIVO SIMPLE EN SCI </v>
          </cell>
          <cell r="F44" t="str">
            <v>SUSTITUCIÓN DE UN ELEMENTO PEIRFERICO DEL SCI COMO BPTPNES DE ALARMA, SENSORES DE HUMOS, SIRENAS, LUCES ETC. INCLUYE EL DESMONTAJE DEL ELEMENTO DEFECTUOSO, REMONTAJE, EVENTUALES AJUSTES Y PRUEBAS FUNCIÓNALES. REPUESTOS A CARGO DE ENEL.</v>
          </cell>
          <cell r="G44" t="str">
            <v>LEII0900</v>
          </cell>
          <cell r="H44" t="str">
            <v>NUM</v>
          </cell>
          <cell r="I44">
            <v>1</v>
          </cell>
          <cell r="J44">
            <v>4</v>
          </cell>
          <cell r="K44">
            <v>2</v>
          </cell>
          <cell r="L44">
            <v>8</v>
          </cell>
          <cell r="M44" t="str">
            <v>NO</v>
          </cell>
          <cell r="N44">
            <v>4</v>
          </cell>
          <cell r="O44">
            <v>3</v>
          </cell>
          <cell r="P44">
            <v>3</v>
          </cell>
          <cell r="Q44">
            <v>12</v>
          </cell>
          <cell r="R44">
            <v>9</v>
          </cell>
          <cell r="S44">
            <v>9</v>
          </cell>
          <cell r="T44">
            <v>378.77307852351834</v>
          </cell>
          <cell r="U44">
            <v>378.77307852351834</v>
          </cell>
          <cell r="V44">
            <v>378.77307852351834</v>
          </cell>
          <cell r="W44">
            <v>4545.2769422822203</v>
          </cell>
          <cell r="X44">
            <v>3408.9577067116652</v>
          </cell>
          <cell r="Y44">
            <v>7954.2346489938855</v>
          </cell>
          <cell r="Z44">
            <v>3408.9577067116652</v>
          </cell>
          <cell r="AA44">
            <v>378.77307852351834</v>
          </cell>
          <cell r="AB44">
            <v>23.466564118731693</v>
          </cell>
          <cell r="AC44">
            <v>8</v>
          </cell>
          <cell r="AD44">
            <v>54.863477962579843</v>
          </cell>
          <cell r="AE44">
            <v>88.267984038228974</v>
          </cell>
          <cell r="AF44">
            <v>19.851838497039743</v>
          </cell>
          <cell r="AG44">
            <v>28.057265075816172</v>
          </cell>
          <cell r="AH44" t="str">
            <v>Instrumentación</v>
          </cell>
          <cell r="AI44">
            <v>378.77307852351834</v>
          </cell>
          <cell r="AJ44">
            <v>8</v>
          </cell>
          <cell r="AK44">
            <v>47.346634815439792</v>
          </cell>
        </row>
        <row r="45">
          <cell r="A45" t="str">
            <v>C308</v>
          </cell>
          <cell r="B45" t="str">
            <v>COND</v>
          </cell>
          <cell r="C45" t="str">
            <v>WWOMMIM01061600700</v>
          </cell>
          <cell r="D45" t="str">
            <v>VENTANILLA, SANTA ROSA Y MALACAS</v>
          </cell>
          <cell r="E45" t="str">
            <v>OK+V511+F506:F510+F50+F507:F510</v>
          </cell>
          <cell r="F45" t="str">
            <v>SUSTITUCIÓN DE TUBO/LATIGUILLO FLEXIBLE EN DE ALIMENTACIÓN EN QUEMADOR O IGNITOR (FO, DO, VAPOR, AIRE, GAS)</v>
          </cell>
          <cell r="G45" t="str">
            <v>MMIM0100</v>
          </cell>
          <cell r="H45" t="str">
            <v>NUM</v>
          </cell>
          <cell r="I45">
            <v>1</v>
          </cell>
          <cell r="J45">
            <v>3</v>
          </cell>
          <cell r="K45">
            <v>3</v>
          </cell>
          <cell r="L45">
            <v>9</v>
          </cell>
          <cell r="M45" t="str">
            <v>SI</v>
          </cell>
          <cell r="N45">
            <v>4</v>
          </cell>
          <cell r="O45">
            <v>3</v>
          </cell>
          <cell r="P45">
            <v>3</v>
          </cell>
          <cell r="Q45">
            <v>12</v>
          </cell>
          <cell r="R45">
            <v>9</v>
          </cell>
          <cell r="S45">
            <v>9</v>
          </cell>
          <cell r="T45">
            <v>411.79268809245912</v>
          </cell>
          <cell r="U45">
            <v>411.79268809245912</v>
          </cell>
          <cell r="V45">
            <v>411.79268809245912</v>
          </cell>
          <cell r="W45">
            <v>4941.5122571095089</v>
          </cell>
          <cell r="X45">
            <v>3706.1341928321322</v>
          </cell>
          <cell r="Y45">
            <v>8647.6464499416415</v>
          </cell>
          <cell r="Z45">
            <v>3706.1341928321322</v>
          </cell>
          <cell r="AA45">
            <v>411.79268809245912</v>
          </cell>
          <cell r="AB45">
            <v>21.533127692412709</v>
          </cell>
          <cell r="AC45">
            <v>9</v>
          </cell>
          <cell r="AD45">
            <v>63.594278557821454</v>
          </cell>
          <cell r="AE45">
            <v>102.31467222134737</v>
          </cell>
          <cell r="AF45">
            <v>21.58242600065299</v>
          </cell>
          <cell r="AG45">
            <v>30.503162080922898</v>
          </cell>
          <cell r="AH45" t="str">
            <v>Mecánica</v>
          </cell>
          <cell r="AI45">
            <v>411.79268809245912</v>
          </cell>
          <cell r="AJ45">
            <v>9</v>
          </cell>
          <cell r="AK45">
            <v>45.754743121384344</v>
          </cell>
        </row>
        <row r="46">
          <cell r="A46" t="str">
            <v>C073</v>
          </cell>
          <cell r="B46" t="str">
            <v>COND</v>
          </cell>
          <cell r="C46" t="str">
            <v>WWOLEII09080500500</v>
          </cell>
          <cell r="D46" t="str">
            <v>VENTANILLA, SANTA ROSA Y MALACAS</v>
          </cell>
          <cell r="E46" t="str">
            <v>SUSTIT LUMINARIA EN OFICINAS</v>
          </cell>
          <cell r="F46" t="str">
            <v>SUSTITUCIÓN DE LUMINARIA COMPLETA, PARA EQUIPOS DE ILUMINACIÓN MONTADOS EN UN FALSO TECHO.</v>
          </cell>
          <cell r="G46" t="str">
            <v>LEII0900</v>
          </cell>
          <cell r="H46" t="str">
            <v>NUM</v>
          </cell>
          <cell r="I46">
            <v>1</v>
          </cell>
          <cell r="J46">
            <v>1.5</v>
          </cell>
          <cell r="K46">
            <v>2</v>
          </cell>
          <cell r="L46">
            <v>3</v>
          </cell>
          <cell r="M46" t="str">
            <v>NO</v>
          </cell>
          <cell r="N46">
            <v>4</v>
          </cell>
          <cell r="O46">
            <v>3</v>
          </cell>
          <cell r="P46">
            <v>3</v>
          </cell>
          <cell r="Q46">
            <v>12</v>
          </cell>
          <cell r="R46">
            <v>9</v>
          </cell>
          <cell r="S46">
            <v>9</v>
          </cell>
          <cell r="T46">
            <v>116.79500071816332</v>
          </cell>
          <cell r="U46">
            <v>116.79500071816332</v>
          </cell>
          <cell r="V46">
            <v>116.79500071816332</v>
          </cell>
          <cell r="W46">
            <v>1401.5400086179598</v>
          </cell>
          <cell r="X46">
            <v>1051.1550064634698</v>
          </cell>
          <cell r="Y46">
            <v>2452.6950150814296</v>
          </cell>
          <cell r="Z46">
            <v>1051.1550064634698</v>
          </cell>
          <cell r="AA46">
            <v>116.79500071816332</v>
          </cell>
          <cell r="AB46">
            <v>23.057832511738386</v>
          </cell>
          <cell r="AC46">
            <v>3</v>
          </cell>
          <cell r="AD46">
            <v>12.591175798991694</v>
          </cell>
          <cell r="AE46">
            <v>20.257514574740835</v>
          </cell>
          <cell r="AF46">
            <v>6.1213312745368622</v>
          </cell>
          <cell r="AG46">
            <v>8.6514815346787639</v>
          </cell>
          <cell r="AH46" t="str">
            <v>Electricidad</v>
          </cell>
          <cell r="AI46">
            <v>116.79500071816332</v>
          </cell>
          <cell r="AJ46">
            <v>3</v>
          </cell>
          <cell r="AK46">
            <v>38.931666906054438</v>
          </cell>
        </row>
        <row r="47">
          <cell r="A47" t="str">
            <v>C071</v>
          </cell>
          <cell r="B47" t="str">
            <v>COND</v>
          </cell>
          <cell r="C47" t="str">
            <v>WWOLEII09080500300</v>
          </cell>
          <cell r="D47" t="str">
            <v>VENTANILLA, SANTA ROSA Y MALACAS</v>
          </cell>
          <cell r="E47" t="str">
            <v>REVISIÓN SIMPLE EQUIPO ALUMBRADO CARRET</v>
          </cell>
          <cell r="F47" t="str">
            <v>SUSTITUCIÓN DE LAMPARA Y STARTER, LIMPIEZA. VALE PER ILLUMINAZIONE STRADALE E TORRI FARO SUPERIORI A 4M. ESCLUSO NOLEGGIO DI MEZZI DI ELEVAZIONE</v>
          </cell>
          <cell r="G47" t="str">
            <v>LEII0900</v>
          </cell>
          <cell r="H47" t="str">
            <v>NUM</v>
          </cell>
          <cell r="I47">
            <v>1</v>
          </cell>
          <cell r="J47">
            <v>2</v>
          </cell>
          <cell r="K47">
            <v>2</v>
          </cell>
          <cell r="L47">
            <v>4</v>
          </cell>
          <cell r="M47" t="str">
            <v>SI</v>
          </cell>
          <cell r="N47">
            <v>4</v>
          </cell>
          <cell r="O47">
            <v>3</v>
          </cell>
          <cell r="P47">
            <v>3</v>
          </cell>
          <cell r="Q47">
            <v>12</v>
          </cell>
          <cell r="R47">
            <v>9</v>
          </cell>
          <cell r="S47">
            <v>9</v>
          </cell>
          <cell r="T47">
            <v>155.72666762421886</v>
          </cell>
          <cell r="U47">
            <v>155.72666762421886</v>
          </cell>
          <cell r="V47">
            <v>155.72666762421886</v>
          </cell>
          <cell r="W47">
            <v>1868.7200114906263</v>
          </cell>
          <cell r="X47">
            <v>1401.5400086179698</v>
          </cell>
          <cell r="Y47">
            <v>3270.2600201085961</v>
          </cell>
          <cell r="Z47">
            <v>1401.5400086179698</v>
          </cell>
          <cell r="AA47">
            <v>155.72666762421886</v>
          </cell>
          <cell r="AB47">
            <v>23.057832511738386</v>
          </cell>
          <cell r="AC47">
            <v>4</v>
          </cell>
          <cell r="AD47">
            <v>16.788234398655963</v>
          </cell>
          <cell r="AE47">
            <v>27.010019432988376</v>
          </cell>
          <cell r="AF47">
            <v>8.1617750327158731</v>
          </cell>
          <cell r="AG47">
            <v>11.535308712905101</v>
          </cell>
          <cell r="AH47" t="str">
            <v>Electricidad</v>
          </cell>
          <cell r="AI47">
            <v>155.72666762421886</v>
          </cell>
          <cell r="AJ47">
            <v>4</v>
          </cell>
          <cell r="AK47">
            <v>38.931666906054716</v>
          </cell>
        </row>
        <row r="48">
          <cell r="A48" t="str">
            <v>C072</v>
          </cell>
          <cell r="B48" t="str">
            <v>COND</v>
          </cell>
          <cell r="C48" t="str">
            <v>WWOLEII09080500100</v>
          </cell>
          <cell r="D48" t="str">
            <v>VENTANILLA, SANTA ROSA Y MALACAS</v>
          </cell>
          <cell r="E48" t="str">
            <v>REVISIÓN SIMPLE EQUIPO DE ILUMINACIÓN</v>
          </cell>
          <cell r="F48" t="str">
            <v>SUSTITUCIÓN DE LAMPARA Y STARTER, LIMPIEZA. VALE PARA LUMINARIAS HASTA LOS 4 METROS DE ALTURA, INCLUYE ALUMBRADO DE CARRETERAS.</v>
          </cell>
          <cell r="G48" t="str">
            <v>LEII0900</v>
          </cell>
          <cell r="H48" t="str">
            <v>NUM</v>
          </cell>
          <cell r="I48">
            <v>1</v>
          </cell>
          <cell r="J48">
            <v>2</v>
          </cell>
          <cell r="K48">
            <v>2</v>
          </cell>
          <cell r="L48">
            <v>4</v>
          </cell>
          <cell r="M48" t="str">
            <v>SI</v>
          </cell>
          <cell r="N48">
            <v>4</v>
          </cell>
          <cell r="O48">
            <v>3</v>
          </cell>
          <cell r="P48">
            <v>3</v>
          </cell>
          <cell r="Q48">
            <v>12</v>
          </cell>
          <cell r="R48">
            <v>9</v>
          </cell>
          <cell r="S48">
            <v>9</v>
          </cell>
          <cell r="T48">
            <v>167.47602756284843</v>
          </cell>
          <cell r="U48">
            <v>167.47602756284843</v>
          </cell>
          <cell r="V48">
            <v>167.47602756284843</v>
          </cell>
          <cell r="W48">
            <v>2009.712330754181</v>
          </cell>
          <cell r="X48">
            <v>1507.2842480656359</v>
          </cell>
          <cell r="Y48">
            <v>3516.9965788198169</v>
          </cell>
          <cell r="Z48">
            <v>1507.2842480656359</v>
          </cell>
          <cell r="AA48">
            <v>167.47602756284843</v>
          </cell>
          <cell r="AB48">
            <v>23.057832511738386</v>
          </cell>
          <cell r="AC48">
            <v>4</v>
          </cell>
          <cell r="AD48">
            <v>20.722220450640275</v>
          </cell>
          <cell r="AE48">
            <v>33.339275815166857</v>
          </cell>
          <cell r="AF48">
            <v>8.7775695787656396</v>
          </cell>
          <cell r="AG48">
            <v>12.405631671322105</v>
          </cell>
          <cell r="AH48" t="str">
            <v>Electricidad</v>
          </cell>
          <cell r="AI48">
            <v>167.47602756284843</v>
          </cell>
          <cell r="AJ48">
            <v>4</v>
          </cell>
          <cell r="AK48">
            <v>41.869006890712107</v>
          </cell>
        </row>
        <row r="49">
          <cell r="A49" t="str">
            <v>C070</v>
          </cell>
          <cell r="B49" t="str">
            <v>COND</v>
          </cell>
          <cell r="C49" t="str">
            <v>WWOLEII09080500200</v>
          </cell>
          <cell r="D49" t="str">
            <v>VENTANILLA, SANTA ROSA Y MALACAS</v>
          </cell>
          <cell r="E49" t="str">
            <v>REVISIÓN COMPLETA EQUIPO DE ILUMINACIÓN</v>
          </cell>
          <cell r="F49" t="str">
            <v>SUSTITUCIÓN DE LAMPARA Y STARTER, LIMPIEZA. SUSTITUCIÓN DEL REACTOR (MECANICO O ELECTRONICO), SUSTITUCIÓN DE BATERIA EN LAMPARA DE EMERGENCIA. VALE PER LUMINARIAS HASTA LOS 4 METROS DE ALTURA, INCLUYE ALUMBRADO DE CARRETERAS.</v>
          </cell>
          <cell r="G49" t="str">
            <v>LEII0900</v>
          </cell>
          <cell r="H49" t="str">
            <v>NUM</v>
          </cell>
          <cell r="I49">
            <v>1</v>
          </cell>
          <cell r="J49">
            <v>2</v>
          </cell>
          <cell r="K49">
            <v>2</v>
          </cell>
          <cell r="L49">
            <v>4</v>
          </cell>
          <cell r="M49" t="str">
            <v>SI</v>
          </cell>
          <cell r="N49">
            <v>4</v>
          </cell>
          <cell r="O49">
            <v>3</v>
          </cell>
          <cell r="P49">
            <v>3</v>
          </cell>
          <cell r="Q49">
            <v>12</v>
          </cell>
          <cell r="R49">
            <v>9</v>
          </cell>
          <cell r="S49">
            <v>9</v>
          </cell>
          <cell r="T49">
            <v>167.47602756284809</v>
          </cell>
          <cell r="U49">
            <v>167.47602756284809</v>
          </cell>
          <cell r="V49">
            <v>167.47602756284809</v>
          </cell>
          <cell r="W49">
            <v>2009.7123307541769</v>
          </cell>
          <cell r="X49">
            <v>1507.2842480656327</v>
          </cell>
          <cell r="Y49">
            <v>3516.9965788198097</v>
          </cell>
          <cell r="Z49">
            <v>1507.2842480656327</v>
          </cell>
          <cell r="AA49">
            <v>167.47602756284809</v>
          </cell>
          <cell r="AB49">
            <v>23.057832511738386</v>
          </cell>
          <cell r="AC49">
            <v>4</v>
          </cell>
          <cell r="AD49">
            <v>20.722220450640172</v>
          </cell>
          <cell r="AE49">
            <v>33.339275815166687</v>
          </cell>
          <cell r="AF49">
            <v>8.7775695787656218</v>
          </cell>
          <cell r="AG49">
            <v>12.40563167132208</v>
          </cell>
          <cell r="AH49" t="str">
            <v>Electricidad</v>
          </cell>
          <cell r="AI49">
            <v>167.47602756284809</v>
          </cell>
          <cell r="AJ49">
            <v>4</v>
          </cell>
          <cell r="AK49">
            <v>41.869006890712022</v>
          </cell>
        </row>
        <row r="50">
          <cell r="A50" t="str">
            <v>C138</v>
          </cell>
          <cell r="B50" t="str">
            <v>COND</v>
          </cell>
          <cell r="C50" t="str">
            <v>WWOLEII09081100800</v>
          </cell>
          <cell r="D50" t="str">
            <v>VENTANILLA, SANTA ROSA Y MALACAS</v>
          </cell>
          <cell r="E50" t="str">
            <v>CAMBIO FUENTE DE ALIMENTACIÓN PLC/DCS</v>
          </cell>
          <cell r="F50" t="str">
            <v>SUSTITUCIÓN DE LA FUENTE DE ALIMENTACIÓN EN SISTEMAS DE AUTOMACIÓN, COMO DCS, ARMARIOS REMOTOS, PLC Y SISTEMAS AUXILIARES. DE ACUERDO CON ENEL, LA ACTIVIDAD PUEDE SER EJECUTADA CON SISTEMAS ENERGIZADOS MANTENIENDO EL EQUIPO EN SERVICIO. INCLUYE EVENTUALES AJUSTES Y PRUEBAS FUNCIÓNALES.</v>
          </cell>
          <cell r="G50" t="str">
            <v>LEII0900</v>
          </cell>
          <cell r="H50" t="str">
            <v>NUM</v>
          </cell>
          <cell r="I50">
            <v>1</v>
          </cell>
          <cell r="J50">
            <v>4</v>
          </cell>
          <cell r="K50">
            <v>2</v>
          </cell>
          <cell r="L50">
            <v>8</v>
          </cell>
          <cell r="M50" t="str">
            <v>NO</v>
          </cell>
          <cell r="N50">
            <v>4</v>
          </cell>
          <cell r="O50">
            <v>3</v>
          </cell>
          <cell r="P50">
            <v>3</v>
          </cell>
          <cell r="Q50">
            <v>12</v>
          </cell>
          <cell r="R50">
            <v>9</v>
          </cell>
          <cell r="S50">
            <v>9</v>
          </cell>
          <cell r="T50">
            <v>311.45333524843619</v>
          </cell>
          <cell r="U50">
            <v>311.45333524843619</v>
          </cell>
          <cell r="V50">
            <v>311.45333524843619</v>
          </cell>
          <cell r="W50">
            <v>3737.4400229812345</v>
          </cell>
          <cell r="X50">
            <v>2803.0800172359259</v>
          </cell>
          <cell r="Y50">
            <v>6540.5200402171604</v>
          </cell>
          <cell r="Z50">
            <v>2803.0800172359259</v>
          </cell>
          <cell r="AA50">
            <v>311.45333524843619</v>
          </cell>
          <cell r="AB50">
            <v>23.057832511738386</v>
          </cell>
          <cell r="AC50">
            <v>8</v>
          </cell>
          <cell r="AD50">
            <v>33.576468797311399</v>
          </cell>
          <cell r="AE50">
            <v>54.020038865975906</v>
          </cell>
          <cell r="AF50">
            <v>16.323550065431665</v>
          </cell>
          <cell r="AG50">
            <v>23.070617425810088</v>
          </cell>
          <cell r="AH50" t="str">
            <v>Electricidad</v>
          </cell>
          <cell r="AI50">
            <v>311.45333524843619</v>
          </cell>
          <cell r="AJ50">
            <v>8</v>
          </cell>
          <cell r="AK50">
            <v>38.931666906054524</v>
          </cell>
        </row>
        <row r="51">
          <cell r="A51" t="str">
            <v>C075</v>
          </cell>
          <cell r="B51" t="str">
            <v>COND</v>
          </cell>
          <cell r="C51" t="str">
            <v>WWOLEII09080501000</v>
          </cell>
          <cell r="D51" t="str">
            <v>VENTANILLA, SANTA ROSA Y MALACAS</v>
          </cell>
          <cell r="E51" t="str">
            <v>SUSTITUIR FOCO ALUMBRADO EXTERIOR</v>
          </cell>
          <cell r="F51" t="str">
            <v>SUSTITUCIÓN DE FOCO EN ALUMBRADO EXTERIOR. INCLUYE DESCONEXIÓN, RECONEXIÓN Y PRUEBA. EXCLUYE CABLES Y BANDEJAS Y MEDIOS DE ELEVACIÓN.</v>
          </cell>
          <cell r="G51" t="str">
            <v>LEII0900</v>
          </cell>
          <cell r="H51" t="str">
            <v>NUM</v>
          </cell>
          <cell r="I51">
            <v>1</v>
          </cell>
          <cell r="J51">
            <v>2</v>
          </cell>
          <cell r="K51">
            <v>2</v>
          </cell>
          <cell r="L51">
            <v>4</v>
          </cell>
          <cell r="M51" t="str">
            <v>SI</v>
          </cell>
          <cell r="N51">
            <v>4</v>
          </cell>
          <cell r="O51">
            <v>3</v>
          </cell>
          <cell r="P51">
            <v>3</v>
          </cell>
          <cell r="Q51">
            <v>12</v>
          </cell>
          <cell r="R51">
            <v>9</v>
          </cell>
          <cell r="S51">
            <v>9</v>
          </cell>
          <cell r="T51">
            <v>179.29776788782721</v>
          </cell>
          <cell r="U51">
            <v>179.29776788782721</v>
          </cell>
          <cell r="V51">
            <v>179.29776788782721</v>
          </cell>
          <cell r="W51">
            <v>2151.5732146539267</v>
          </cell>
          <cell r="X51">
            <v>1613.6799109904448</v>
          </cell>
          <cell r="Y51">
            <v>3765.2531256443717</v>
          </cell>
          <cell r="Z51">
            <v>1613.6799109904448</v>
          </cell>
          <cell r="AA51">
            <v>179.29776788782721</v>
          </cell>
          <cell r="AB51">
            <v>23.057832511738386</v>
          </cell>
          <cell r="AC51">
            <v>4</v>
          </cell>
          <cell r="AD51">
            <v>22.098322037849147</v>
          </cell>
          <cell r="AE51">
            <v>42.289642017072943</v>
          </cell>
          <cell r="AF51">
            <v>9.3971576461125377</v>
          </cell>
          <cell r="AG51">
            <v>13.281316139839053</v>
          </cell>
          <cell r="AH51" t="str">
            <v>Electricidad</v>
          </cell>
          <cell r="AI51">
            <v>179.29776788782721</v>
          </cell>
          <cell r="AJ51">
            <v>4</v>
          </cell>
          <cell r="AK51">
            <v>44.824441971956801</v>
          </cell>
        </row>
        <row r="52">
          <cell r="A52" t="str">
            <v>P056</v>
          </cell>
          <cell r="B52" t="str">
            <v>PREV</v>
          </cell>
          <cell r="C52" t="str">
            <v>WWOLEII09081300100</v>
          </cell>
          <cell r="D52" t="str">
            <v>VENTANILLA Y SANTA ROSA</v>
          </cell>
          <cell r="E52" t="str">
            <v>SUSTITUCIÓN SISTEMA ESCOBILLAS GENERADOR (48 TG8)</v>
          </cell>
          <cell r="F52" t="str">
            <v>SUSTITUCIÓN DE ESCOBILLAS, LIMPIEZAS, SUSTITUCIÓN DE RESORTES, ETC. ESTE ITEM SE ENCUENTRA DEFINIDO POR ELEMENTO.</v>
          </cell>
          <cell r="G52" t="str">
            <v>LEII0908</v>
          </cell>
          <cell r="H52" t="str">
            <v>NUM</v>
          </cell>
          <cell r="I52">
            <v>1</v>
          </cell>
          <cell r="J52">
            <v>0.25</v>
          </cell>
          <cell r="K52">
            <v>2</v>
          </cell>
          <cell r="L52">
            <v>0.5</v>
          </cell>
          <cell r="M52" t="str">
            <v>NO</v>
          </cell>
          <cell r="N52">
            <v>2016</v>
          </cell>
          <cell r="O52">
            <v>292</v>
          </cell>
          <cell r="P52">
            <v>0</v>
          </cell>
          <cell r="Q52">
            <v>6048</v>
          </cell>
          <cell r="R52">
            <v>876</v>
          </cell>
          <cell r="S52">
            <v>0</v>
          </cell>
          <cell r="T52">
            <v>22.592684295748747</v>
          </cell>
          <cell r="U52">
            <v>22.592684295748747</v>
          </cell>
          <cell r="V52">
            <v>0</v>
          </cell>
          <cell r="W52">
            <v>136640.55462068843</v>
          </cell>
          <cell r="X52">
            <v>19791.191443075902</v>
          </cell>
          <cell r="Y52">
            <v>156431.74606376432</v>
          </cell>
          <cell r="Z52">
            <v>0</v>
          </cell>
          <cell r="AA52">
            <v>22.592684295748747</v>
          </cell>
          <cell r="AB52">
            <v>23.057832511738386</v>
          </cell>
          <cell r="AC52">
            <v>0.5</v>
          </cell>
          <cell r="AD52">
            <v>2.8163923273252589</v>
          </cell>
          <cell r="AE52">
            <v>5.3897405919878913</v>
          </cell>
          <cell r="AF52">
            <v>1.1841029505109406</v>
          </cell>
          <cell r="AG52">
            <v>1.6735321700554628</v>
          </cell>
          <cell r="AH52" t="str">
            <v>Electricidad</v>
          </cell>
          <cell r="AI52">
            <v>22.592684295748747</v>
          </cell>
          <cell r="AJ52">
            <v>0.5</v>
          </cell>
          <cell r="AK52">
            <v>45.185368591497493</v>
          </cell>
        </row>
        <row r="53">
          <cell r="A53" t="str">
            <v>C152</v>
          </cell>
          <cell r="B53" t="str">
            <v>COND</v>
          </cell>
          <cell r="C53" t="str">
            <v>WWOLEII09081300100</v>
          </cell>
          <cell r="D53" t="str">
            <v>VENTANILLA, SANTA ROSA Y MALACAS</v>
          </cell>
          <cell r="E53" t="str">
            <v>SUSTITUCIÓN SISTEMA ESCOBILLAS GENERADOR</v>
          </cell>
          <cell r="F53" t="str">
            <v>SUSTITUCIÓN DE ESCOBILLAS, LIMPIEZAS, SUSTITUCIÓN DE RESORTES, ETC. ESTE ITEM SE ENCUENTRA DEFINIDO POR ELEMENTO.</v>
          </cell>
          <cell r="G53" t="str">
            <v>LEII0900</v>
          </cell>
          <cell r="H53" t="str">
            <v>NUM</v>
          </cell>
          <cell r="I53">
            <v>1</v>
          </cell>
          <cell r="J53">
            <v>0.25</v>
          </cell>
          <cell r="K53">
            <v>2</v>
          </cell>
          <cell r="L53">
            <v>0.5</v>
          </cell>
          <cell r="M53" t="str">
            <v>NO</v>
          </cell>
          <cell r="N53">
            <v>1</v>
          </cell>
          <cell r="O53">
            <v>1</v>
          </cell>
          <cell r="P53">
            <v>1</v>
          </cell>
          <cell r="Q53">
            <v>3</v>
          </cell>
          <cell r="R53">
            <v>3</v>
          </cell>
          <cell r="S53">
            <v>3</v>
          </cell>
          <cell r="T53">
            <v>22.412220985978401</v>
          </cell>
          <cell r="U53">
            <v>22.412220985978401</v>
          </cell>
          <cell r="V53">
            <v>22.412220985978401</v>
          </cell>
          <cell r="W53">
            <v>67.236662957935209</v>
          </cell>
          <cell r="X53">
            <v>67.236662957935209</v>
          </cell>
          <cell r="Y53">
            <v>134.47332591587042</v>
          </cell>
          <cell r="Z53">
            <v>67.236662957935209</v>
          </cell>
          <cell r="AA53">
            <v>22.412220985978401</v>
          </cell>
          <cell r="AB53">
            <v>23.057832511738386</v>
          </cell>
          <cell r="AC53">
            <v>0.5</v>
          </cell>
          <cell r="AD53">
            <v>2.7622902547311434</v>
          </cell>
          <cell r="AE53">
            <v>5.2862052521341178</v>
          </cell>
          <cell r="AF53">
            <v>1.1746447057640672</v>
          </cell>
          <cell r="AG53">
            <v>1.6601645174798816</v>
          </cell>
          <cell r="AH53" t="str">
            <v>Electricidad</v>
          </cell>
          <cell r="AI53">
            <v>22.412220985978401</v>
          </cell>
          <cell r="AJ53">
            <v>0.5</v>
          </cell>
          <cell r="AK53">
            <v>44.824441971956801</v>
          </cell>
        </row>
        <row r="54">
          <cell r="A54" t="str">
            <v>C153</v>
          </cell>
          <cell r="B54" t="str">
            <v>COND</v>
          </cell>
          <cell r="C54" t="str">
            <v>WWOLEII09081400400</v>
          </cell>
          <cell r="D54" t="str">
            <v>VENTANILLA, SANTA ROSA Y MALACAS</v>
          </cell>
          <cell r="E54" t="str">
            <v xml:space="preserve">CAMBIO SILICAGEL TRAFO </v>
          </cell>
          <cell r="F54" t="str">
            <v>SUSTITUCIÓN CARTUCHO SILICAGEL EN TRANSFORMADORES DE ACEITE. SUMINSTRO DEL CARTUCHO A CARGO DE ENEL</v>
          </cell>
          <cell r="G54" t="str">
            <v>LEII0900</v>
          </cell>
          <cell r="H54" t="str">
            <v>NUM</v>
          </cell>
          <cell r="I54">
            <v>1</v>
          </cell>
          <cell r="J54">
            <v>1</v>
          </cell>
          <cell r="K54">
            <v>2</v>
          </cell>
          <cell r="L54">
            <v>2</v>
          </cell>
          <cell r="M54" t="str">
            <v>NO</v>
          </cell>
          <cell r="N54">
            <v>4</v>
          </cell>
          <cell r="O54">
            <v>3</v>
          </cell>
          <cell r="P54">
            <v>3</v>
          </cell>
          <cell r="Q54">
            <v>12</v>
          </cell>
          <cell r="R54">
            <v>9</v>
          </cell>
          <cell r="S54">
            <v>9</v>
          </cell>
          <cell r="T54">
            <v>78.568295408426991</v>
          </cell>
          <cell r="U54">
            <v>78.568295408426991</v>
          </cell>
          <cell r="V54">
            <v>78.568295408426991</v>
          </cell>
          <cell r="W54">
            <v>942.81954490112389</v>
          </cell>
          <cell r="X54">
            <v>707.11465867584297</v>
          </cell>
          <cell r="Y54">
            <v>1649.9342035769669</v>
          </cell>
          <cell r="Z54">
            <v>707.11465867584297</v>
          </cell>
          <cell r="AA54">
            <v>78.568295408426991</v>
          </cell>
          <cell r="AB54">
            <v>23.057832511738386</v>
          </cell>
          <cell r="AC54">
            <v>2</v>
          </cell>
          <cell r="AD54">
            <v>8.6301563624469697</v>
          </cell>
          <cell r="AE54">
            <v>13.884765099424785</v>
          </cell>
          <cell r="AF54">
            <v>4.1178351891209113</v>
          </cell>
          <cell r="AG54">
            <v>5.8198737339575555</v>
          </cell>
          <cell r="AH54" t="str">
            <v>Electricidad</v>
          </cell>
          <cell r="AI54">
            <v>78.568295408426991</v>
          </cell>
          <cell r="AJ54">
            <v>2</v>
          </cell>
          <cell r="AK54">
            <v>39.284147704213495</v>
          </cell>
        </row>
        <row r="55">
          <cell r="A55" t="str">
            <v>C131</v>
          </cell>
          <cell r="B55" t="str">
            <v>COND</v>
          </cell>
          <cell r="C55" t="str">
            <v>WWOLEII09080706300</v>
          </cell>
          <cell r="D55" t="str">
            <v>VENTANILLA, SANTA ROSA Y MALACAS</v>
          </cell>
          <cell r="E55" t="str">
            <v>SELLADO IGNÍFUGO PASO CABLES D&lt;=200 MM</v>
          </cell>
          <cell r="F55" t="str">
            <v>SELLADO DE HUECO EN PASO DE CABLES PARA TUBO HASTA 200 MM, O SUPERFICIE EQUIVALENTE.SE INCLUYE LA COLOCACIÓN Y COMPACTADO DE LANA DE ROCA EN EL ESPACIÓ DE PASO (DENSIDAD &gt;= 140 KG/M3) CON ESPESOR &gt;=150 MM, PINTURA SUPERFICIALDE ESPESOR &gt;=5 MM CON RESISTENCIA AL FUEGO 120 MINUTOS. SUMINISTRO DE MATERIALES INCLUIDOS.</v>
          </cell>
          <cell r="G55" t="str">
            <v>LEII0900</v>
          </cell>
          <cell r="H55" t="str">
            <v>NUM</v>
          </cell>
          <cell r="I55">
            <v>1</v>
          </cell>
          <cell r="J55">
            <v>3</v>
          </cell>
          <cell r="K55">
            <v>2</v>
          </cell>
          <cell r="L55">
            <v>6</v>
          </cell>
          <cell r="M55" t="str">
            <v>SI</v>
          </cell>
          <cell r="N55">
            <v>4</v>
          </cell>
          <cell r="O55">
            <v>3</v>
          </cell>
          <cell r="P55">
            <v>3</v>
          </cell>
          <cell r="Q55">
            <v>12</v>
          </cell>
          <cell r="R55">
            <v>9</v>
          </cell>
          <cell r="S55">
            <v>9</v>
          </cell>
          <cell r="T55">
            <v>320.56038988205506</v>
          </cell>
          <cell r="U55">
            <v>320.56038988205506</v>
          </cell>
          <cell r="V55">
            <v>320.56038988205506</v>
          </cell>
          <cell r="W55">
            <v>3846.724678584661</v>
          </cell>
          <cell r="X55">
            <v>2885.0435089384955</v>
          </cell>
          <cell r="Y55">
            <v>6731.7681875231565</v>
          </cell>
          <cell r="Z55">
            <v>2885.0435089384955</v>
          </cell>
          <cell r="AA55">
            <v>320.56038988205506</v>
          </cell>
          <cell r="AB55">
            <v>23.85461877779623</v>
          </cell>
          <cell r="AC55">
            <v>6</v>
          </cell>
          <cell r="AD55">
            <v>52.469772087175514</v>
          </cell>
          <cell r="AE55">
            <v>84.416832054271353</v>
          </cell>
          <cell r="AF55">
            <v>16.800859008493454</v>
          </cell>
          <cell r="AG55">
            <v>23.745214065337414</v>
          </cell>
          <cell r="AH55" t="str">
            <v>Electricidad</v>
          </cell>
          <cell r="AI55">
            <v>320.56038988205506</v>
          </cell>
          <cell r="AJ55">
            <v>6</v>
          </cell>
          <cell r="AK55">
            <v>53.426731647009177</v>
          </cell>
        </row>
        <row r="56">
          <cell r="A56" t="str">
            <v>P037</v>
          </cell>
          <cell r="B56" t="str">
            <v>PREV</v>
          </cell>
          <cell r="C56" t="str">
            <v>PEOLEII0900MEMED01</v>
          </cell>
          <cell r="D56" t="str">
            <v>VENTANILLA</v>
          </cell>
          <cell r="E56" t="str">
            <v>MEDICION TOMAS PRESION DE GASES EN HRSG</v>
          </cell>
          <cell r="F56" t="str">
            <v>SE REALIZARA LA TOMA DE PRESIONES CON EQUIPO PORTATIL DE SEIS (6) PUNTOS EN EL CALDERO (HRSG)</v>
          </cell>
          <cell r="G56" t="str">
            <v>LEII0900</v>
          </cell>
          <cell r="H56" t="str">
            <v>NUM</v>
          </cell>
          <cell r="I56">
            <v>1</v>
          </cell>
          <cell r="J56">
            <v>2</v>
          </cell>
          <cell r="K56">
            <v>2</v>
          </cell>
          <cell r="L56">
            <v>4</v>
          </cell>
          <cell r="M56" t="str">
            <v>NO</v>
          </cell>
          <cell r="N56">
            <v>24</v>
          </cell>
          <cell r="O56">
            <v>0</v>
          </cell>
          <cell r="P56">
            <v>0</v>
          </cell>
          <cell r="Q56">
            <v>72</v>
          </cell>
          <cell r="R56">
            <v>0</v>
          </cell>
          <cell r="S56">
            <v>0</v>
          </cell>
          <cell r="T56">
            <v>199.04001285530978</v>
          </cell>
          <cell r="U56"/>
          <cell r="V56">
            <v>0</v>
          </cell>
          <cell r="W56">
            <v>14330.880925582303</v>
          </cell>
          <cell r="X56">
            <v>0</v>
          </cell>
          <cell r="Y56">
            <v>14330.880925582303</v>
          </cell>
          <cell r="Z56">
            <v>0</v>
          </cell>
          <cell r="AA56">
            <v>199.04001285530978</v>
          </cell>
          <cell r="AB56">
            <v>23.466564118731693</v>
          </cell>
          <cell r="AC56">
            <v>4</v>
          </cell>
          <cell r="AD56">
            <v>28.447934403849374</v>
          </cell>
          <cell r="AE56">
            <v>51.550250818734163</v>
          </cell>
          <cell r="AF56">
            <v>10.431866501850617</v>
          </cell>
          <cell r="AG56">
            <v>14.743704655948873</v>
          </cell>
          <cell r="AH56" t="str">
            <v>Instrumentación</v>
          </cell>
          <cell r="AI56">
            <v>199.04001285530978</v>
          </cell>
          <cell r="AJ56">
            <v>4</v>
          </cell>
          <cell r="AK56">
            <v>49.760003213827446</v>
          </cell>
        </row>
        <row r="57">
          <cell r="A57" t="str">
            <v>P039</v>
          </cell>
          <cell r="B57" t="str">
            <v>PREV</v>
          </cell>
          <cell r="C57" t="str">
            <v>PEOLEII0900SCINS01</v>
          </cell>
          <cell r="D57" t="str">
            <v>VENTANILLA, SANTA ROSA Y MALACAS</v>
          </cell>
          <cell r="E57" t="str">
            <v>INSPECCION Y LIMPIEZA INSTRUMENTACION</v>
          </cell>
          <cell r="F57" t="str">
            <v>SE REALIZARÁ LA LIMPIEZA E INSPECCIÓN DEL INSTRUMENTOS VERIFICANDO LA CONECCIONES ELECTRICAS, NEUMATICAS E HIDRAULICAS DEL PROCESO AL EQUIPO.</v>
          </cell>
          <cell r="G57" t="str">
            <v>LEII0900</v>
          </cell>
          <cell r="H57" t="str">
            <v>NUM</v>
          </cell>
          <cell r="I57">
            <v>1</v>
          </cell>
          <cell r="J57">
            <v>0.5</v>
          </cell>
          <cell r="K57">
            <v>2</v>
          </cell>
          <cell r="L57">
            <v>1</v>
          </cell>
          <cell r="M57" t="str">
            <v>NO</v>
          </cell>
          <cell r="N57">
            <v>577</v>
          </cell>
          <cell r="O57">
            <v>60</v>
          </cell>
          <cell r="P57">
            <v>200</v>
          </cell>
          <cell r="Q57">
            <v>1731</v>
          </cell>
          <cell r="R57">
            <v>180</v>
          </cell>
          <cell r="S57">
            <v>600</v>
          </cell>
          <cell r="T57">
            <v>46.034895334454561</v>
          </cell>
          <cell r="U57">
            <v>46.034895334454561</v>
          </cell>
          <cell r="V57">
            <v>46.034895334454561</v>
          </cell>
          <cell r="W57">
            <v>79686.40382394084</v>
          </cell>
          <cell r="X57">
            <v>8286.281160201821</v>
          </cell>
          <cell r="Y57">
            <v>87972.684984142659</v>
          </cell>
          <cell r="Z57">
            <v>27620.937200672735</v>
          </cell>
          <cell r="AA57">
            <v>46.034895334454561</v>
          </cell>
          <cell r="AB57">
            <v>23.466564118731693</v>
          </cell>
          <cell r="AC57">
            <v>1</v>
          </cell>
          <cell r="AD57">
            <v>5.747189822056229</v>
          </cell>
          <cell r="AE57">
            <v>10.998418783228985</v>
          </cell>
          <cell r="AF57">
            <v>2.4127303634410144</v>
          </cell>
          <cell r="AG57">
            <v>3.4099922469966337</v>
          </cell>
          <cell r="AH57" t="str">
            <v>Instrumentación</v>
          </cell>
          <cell r="AI57">
            <v>46.034895334454561</v>
          </cell>
          <cell r="AJ57">
            <v>1</v>
          </cell>
          <cell r="AK57">
            <v>46.034895334454561</v>
          </cell>
        </row>
        <row r="58">
          <cell r="A58" t="str">
            <v>P035</v>
          </cell>
          <cell r="B58" t="str">
            <v>PREV</v>
          </cell>
          <cell r="C58" t="str">
            <v>PEOLEII0900MEACT01</v>
          </cell>
          <cell r="D58" t="str">
            <v>VENTANILLA, SANTA ROSA Y MALACAS</v>
          </cell>
          <cell r="E58" t="str">
            <v>INSPECCION Y LIMPIEZA ACTUADOR</v>
          </cell>
          <cell r="F58" t="str">
            <v>SE REALIZARÁ LA LIMPIEZA E INSPECCIÓN DEL ACTUADOR Y SENSORES DE POSICIÓN COMO VERIFICACIÓN DE LAS CONECCIONES ELÉCTRICAS, NEUMÁTICAS E HIDRAULICAS DESDE EL PROCESO AL EQUIPO.</v>
          </cell>
          <cell r="G58" t="str">
            <v>LEII0900</v>
          </cell>
          <cell r="H58" t="str">
            <v>NUM</v>
          </cell>
          <cell r="I58">
            <v>1</v>
          </cell>
          <cell r="J58">
            <v>1.5</v>
          </cell>
          <cell r="K58">
            <v>2</v>
          </cell>
          <cell r="L58">
            <v>3</v>
          </cell>
          <cell r="M58" t="str">
            <v>NO</v>
          </cell>
          <cell r="N58">
            <v>279</v>
          </cell>
          <cell r="O58">
            <v>20</v>
          </cell>
          <cell r="P58">
            <v>1</v>
          </cell>
          <cell r="Q58">
            <v>837</v>
          </cell>
          <cell r="R58">
            <v>60</v>
          </cell>
          <cell r="S58">
            <v>3</v>
          </cell>
          <cell r="T58">
            <v>138.10468600336367</v>
          </cell>
          <cell r="U58">
            <v>138.10468600336367</v>
          </cell>
          <cell r="V58">
            <v>138.10468600336367</v>
          </cell>
          <cell r="W58">
            <v>115593.62218481539</v>
          </cell>
          <cell r="X58">
            <v>8286.2811602018191</v>
          </cell>
          <cell r="Y58">
            <v>123879.90334501721</v>
          </cell>
          <cell r="Z58">
            <v>414.314058010091</v>
          </cell>
          <cell r="AA58">
            <v>138.10468600336367</v>
          </cell>
          <cell r="AB58">
            <v>23.466564118731693</v>
          </cell>
          <cell r="AC58">
            <v>3</v>
          </cell>
          <cell r="AD58">
            <v>17.241569466168688</v>
          </cell>
          <cell r="AE58">
            <v>32.995256349686962</v>
          </cell>
          <cell r="AF58">
            <v>7.2381910903230438</v>
          </cell>
          <cell r="AG58">
            <v>10.229976740989901</v>
          </cell>
          <cell r="AH58" t="str">
            <v>Instrumentación</v>
          </cell>
          <cell r="AI58">
            <v>138.10468600336367</v>
          </cell>
          <cell r="AJ58">
            <v>3</v>
          </cell>
          <cell r="AK58">
            <v>46.034895334454554</v>
          </cell>
        </row>
        <row r="59">
          <cell r="A59" t="str">
            <v>P038</v>
          </cell>
          <cell r="B59" t="str">
            <v>PREV</v>
          </cell>
          <cell r="C59" t="str">
            <v>PEOLEII0900SCFIL01</v>
          </cell>
          <cell r="D59" t="str">
            <v>VENTANILLA</v>
          </cell>
          <cell r="E59" t="str">
            <v>SUSTITUCION FILTROS EN SOPLADOR Y TABLEROS DE CONTROL</v>
          </cell>
          <cell r="F59" t="str">
            <v>SE REALIZA EL CAMBIO DEL FILTROS DEL SOPLADOR Y DE TABLEROS</v>
          </cell>
          <cell r="G59" t="str">
            <v>LEII0900</v>
          </cell>
          <cell r="H59" t="str">
            <v>NUM</v>
          </cell>
          <cell r="I59">
            <v>1</v>
          </cell>
          <cell r="J59">
            <v>2</v>
          </cell>
          <cell r="K59">
            <v>2</v>
          </cell>
          <cell r="L59">
            <v>4</v>
          </cell>
          <cell r="M59" t="str">
            <v>NO</v>
          </cell>
          <cell r="N59">
            <v>24</v>
          </cell>
          <cell r="O59">
            <v>0</v>
          </cell>
          <cell r="P59">
            <v>0</v>
          </cell>
          <cell r="Q59">
            <v>72</v>
          </cell>
          <cell r="R59">
            <v>0</v>
          </cell>
          <cell r="S59">
            <v>0</v>
          </cell>
          <cell r="T59">
            <v>199.04001285530984</v>
          </cell>
          <cell r="U59"/>
          <cell r="V59">
            <v>0</v>
          </cell>
          <cell r="W59">
            <v>14330.880925582309</v>
          </cell>
          <cell r="X59">
            <v>0</v>
          </cell>
          <cell r="Y59">
            <v>14330.880925582309</v>
          </cell>
          <cell r="Z59">
            <v>0</v>
          </cell>
          <cell r="AA59">
            <v>199.04001285530984</v>
          </cell>
          <cell r="AB59">
            <v>23.466564118731693</v>
          </cell>
          <cell r="AC59">
            <v>4</v>
          </cell>
          <cell r="AD59">
            <v>28.447934403849391</v>
          </cell>
          <cell r="AE59">
            <v>51.550250818734192</v>
          </cell>
          <cell r="AF59">
            <v>10.431866501850621</v>
          </cell>
          <cell r="AG59">
            <v>14.743704655948877</v>
          </cell>
          <cell r="AH59" t="str">
            <v>Instrumentación</v>
          </cell>
          <cell r="AI59">
            <v>199.04001285530984</v>
          </cell>
          <cell r="AJ59">
            <v>4</v>
          </cell>
          <cell r="AK59">
            <v>49.76000321382746</v>
          </cell>
        </row>
        <row r="60">
          <cell r="A60" t="str">
            <v>C127</v>
          </cell>
          <cell r="B60" t="str">
            <v>COND</v>
          </cell>
          <cell r="C60" t="str">
            <v>WWOLEII09080706400</v>
          </cell>
          <cell r="D60" t="str">
            <v>VENTANILLA, SANTA ROSA Y MALACAS</v>
          </cell>
          <cell r="E60" t="str">
            <v>MONTAJE DISP SEÑALIZ ACÚSTICA O LUMINOSO</v>
          </cell>
          <cell r="F60" t="str">
            <v>SE INCLUYE EL MONTAJE, EL CABLEADO, CONEXIÓN, APERTURA DE HUECOS PARA CONEXIÓN, LOS ACCESORIOS NECESARIOS, LAS CERTIFICACIÓNES, ETC</v>
          </cell>
          <cell r="G60" t="str">
            <v>LEII0900</v>
          </cell>
          <cell r="H60" t="str">
            <v>NUM</v>
          </cell>
          <cell r="I60">
            <v>1</v>
          </cell>
          <cell r="J60">
            <v>1.25</v>
          </cell>
          <cell r="K60">
            <v>2</v>
          </cell>
          <cell r="L60">
            <v>2.5</v>
          </cell>
          <cell r="M60" t="str">
            <v>NO</v>
          </cell>
          <cell r="N60">
            <v>4</v>
          </cell>
          <cell r="O60">
            <v>3</v>
          </cell>
          <cell r="P60">
            <v>3</v>
          </cell>
          <cell r="Q60">
            <v>12</v>
          </cell>
          <cell r="R60">
            <v>9</v>
          </cell>
          <cell r="S60">
            <v>9</v>
          </cell>
          <cell r="T60">
            <v>120.28042144913091</v>
          </cell>
          <cell r="U60">
            <v>120.28042144913091</v>
          </cell>
          <cell r="V60">
            <v>120.28042144913091</v>
          </cell>
          <cell r="W60">
            <v>1443.3650573895709</v>
          </cell>
          <cell r="X60">
            <v>1082.5237930421781</v>
          </cell>
          <cell r="Y60">
            <v>2525.8888504317492</v>
          </cell>
          <cell r="Z60">
            <v>1082.5237930421781</v>
          </cell>
          <cell r="AA60">
            <v>120.28042144913091</v>
          </cell>
          <cell r="AB60">
            <v>23.057832511738386</v>
          </cell>
          <cell r="AC60">
            <v>2.5</v>
          </cell>
          <cell r="AD60">
            <v>18.177313094360979</v>
          </cell>
          <cell r="AE60">
            <v>29.244860910299796</v>
          </cell>
          <cell r="AF60">
            <v>6.3040053170404038</v>
          </cell>
          <cell r="AG60">
            <v>8.9096608480837709</v>
          </cell>
          <cell r="AH60" t="str">
            <v>Electricidad</v>
          </cell>
          <cell r="AI60">
            <v>120.28042144913091</v>
          </cell>
          <cell r="AJ60">
            <v>2.5</v>
          </cell>
          <cell r="AK60">
            <v>48.112168579652362</v>
          </cell>
        </row>
        <row r="61">
          <cell r="A61" t="str">
            <v>L064</v>
          </cell>
          <cell r="B61" t="str">
            <v>MBO + LI</v>
          </cell>
          <cell r="C61" t="str">
            <v>PEOLEII09MBOELTG01</v>
          </cell>
          <cell r="D61" t="str">
            <v>VENTANILLA</v>
          </cell>
          <cell r="E61" t="str">
            <v>NEMO EQUIPOS ELÉCTRICOS DE PLANTA.</v>
          </cell>
          <cell r="F61" t="str">
            <v>REVISIONAL EQUIPOS ELÉCTRICOS DE PLANTA, TOMA DE PARÂMETROS (MBO-TG)</v>
          </cell>
          <cell r="G61" t="str">
            <v>LEII0900</v>
          </cell>
          <cell r="H61" t="str">
            <v>NUM</v>
          </cell>
          <cell r="I61">
            <v>1</v>
          </cell>
          <cell r="J61">
            <v>2</v>
          </cell>
          <cell r="K61">
            <v>2</v>
          </cell>
          <cell r="L61">
            <v>4</v>
          </cell>
          <cell r="M61" t="str">
            <v>NO</v>
          </cell>
          <cell r="N61">
            <v>24</v>
          </cell>
          <cell r="O61">
            <v>0</v>
          </cell>
          <cell r="P61">
            <v>0</v>
          </cell>
          <cell r="Q61">
            <v>72</v>
          </cell>
          <cell r="R61">
            <v>0</v>
          </cell>
          <cell r="S61">
            <v>0</v>
          </cell>
          <cell r="T61">
            <v>190.30606894255399</v>
          </cell>
          <cell r="U61"/>
          <cell r="V61">
            <v>0</v>
          </cell>
          <cell r="W61">
            <v>13702.036963863888</v>
          </cell>
          <cell r="X61">
            <v>0</v>
          </cell>
          <cell r="Y61">
            <v>13702.036963863888</v>
          </cell>
          <cell r="Z61">
            <v>0</v>
          </cell>
          <cell r="AA61">
            <v>190.30606894255399</v>
          </cell>
          <cell r="AB61">
            <v>23.057832511738386</v>
          </cell>
          <cell r="AC61">
            <v>4</v>
          </cell>
          <cell r="AD61">
            <v>28.366301900447503</v>
          </cell>
          <cell r="AE61">
            <v>45.637578519539893</v>
          </cell>
          <cell r="AF61">
            <v>9.9741126280164565</v>
          </cell>
          <cell r="AG61">
            <v>14.096745847596592</v>
          </cell>
          <cell r="AH61" t="e">
            <v>#N/A</v>
          </cell>
          <cell r="AI61">
            <v>190.30606894255399</v>
          </cell>
          <cell r="AJ61">
            <v>4</v>
          </cell>
          <cell r="AK61">
            <v>47.576517235638498</v>
          </cell>
        </row>
        <row r="62">
          <cell r="A62" t="str">
            <v>L066</v>
          </cell>
          <cell r="B62" t="str">
            <v>MBO + LI</v>
          </cell>
          <cell r="C62" t="str">
            <v>PEOLEII09MBOELCP01</v>
          </cell>
          <cell r="D62" t="str">
            <v>VENTANILLA</v>
          </cell>
          <cell r="E62" t="str">
            <v>NEMO EQUIPOS ELÉCTRICOS DE PLANTA.</v>
          </cell>
          <cell r="F62" t="str">
            <v>REVISIONAL EQUIPOS ELÉCTRICOS DE PLANTA, TOMA DE PARÂMETROS (MBO-COM)</v>
          </cell>
          <cell r="G62" t="str">
            <v>LEII0900</v>
          </cell>
          <cell r="H62" t="str">
            <v>NUM</v>
          </cell>
          <cell r="I62">
            <v>1</v>
          </cell>
          <cell r="J62">
            <v>3</v>
          </cell>
          <cell r="K62">
            <v>2</v>
          </cell>
          <cell r="L62">
            <v>6</v>
          </cell>
          <cell r="M62" t="str">
            <v>NO</v>
          </cell>
          <cell r="N62">
            <v>24</v>
          </cell>
          <cell r="O62">
            <v>0</v>
          </cell>
          <cell r="P62">
            <v>0</v>
          </cell>
          <cell r="Q62">
            <v>72</v>
          </cell>
          <cell r="R62">
            <v>0</v>
          </cell>
          <cell r="S62">
            <v>0</v>
          </cell>
          <cell r="T62">
            <v>285.45910341383069</v>
          </cell>
          <cell r="U62"/>
          <cell r="V62">
            <v>0</v>
          </cell>
          <cell r="W62">
            <v>20553.05544579581</v>
          </cell>
          <cell r="X62">
            <v>0</v>
          </cell>
          <cell r="Y62">
            <v>20553.05544579581</v>
          </cell>
          <cell r="Z62">
            <v>0</v>
          </cell>
          <cell r="AA62">
            <v>285.45910341383069</v>
          </cell>
          <cell r="AB62">
            <v>23.057832511738386</v>
          </cell>
          <cell r="AC62">
            <v>6</v>
          </cell>
          <cell r="AD62">
            <v>42.549452850671159</v>
          </cell>
          <cell r="AE62">
            <v>68.456367779309701</v>
          </cell>
          <cell r="AF62">
            <v>14.961168942024669</v>
          </cell>
          <cell r="AG62">
            <v>21.145118771394863</v>
          </cell>
          <cell r="AH62" t="e">
            <v>#N/A</v>
          </cell>
          <cell r="AI62">
            <v>285.45910341383069</v>
          </cell>
          <cell r="AJ62">
            <v>6</v>
          </cell>
          <cell r="AK62">
            <v>47.576517235638448</v>
          </cell>
        </row>
        <row r="63">
          <cell r="A63" t="str">
            <v>L065</v>
          </cell>
          <cell r="B63" t="str">
            <v>MBO + LI</v>
          </cell>
          <cell r="C63" t="str">
            <v>PEOLEII09MBOELTV01</v>
          </cell>
          <cell r="D63" t="str">
            <v>VENTANILLA</v>
          </cell>
          <cell r="E63" t="str">
            <v>NEMO EQUIPOS ELÉCTRICOS DE PLANTA.</v>
          </cell>
          <cell r="F63" t="str">
            <v>REVISIONAL EQUIPOS ELÉCTRICOS DE PLANTA, TOMA DE PARÂMETROS  (MBO-TV-BOP)</v>
          </cell>
          <cell r="G63" t="str">
            <v>LEII0900</v>
          </cell>
          <cell r="H63" t="str">
            <v>NUM</v>
          </cell>
          <cell r="I63">
            <v>1</v>
          </cell>
          <cell r="J63">
            <v>5</v>
          </cell>
          <cell r="K63">
            <v>2</v>
          </cell>
          <cell r="L63">
            <v>10</v>
          </cell>
          <cell r="M63" t="str">
            <v>NO</v>
          </cell>
          <cell r="N63">
            <v>24</v>
          </cell>
          <cell r="O63">
            <v>0</v>
          </cell>
          <cell r="P63">
            <v>0</v>
          </cell>
          <cell r="Q63">
            <v>72</v>
          </cell>
          <cell r="R63">
            <v>0</v>
          </cell>
          <cell r="S63">
            <v>0</v>
          </cell>
          <cell r="T63">
            <v>475.76517235638539</v>
          </cell>
          <cell r="U63"/>
          <cell r="V63">
            <v>0</v>
          </cell>
          <cell r="W63">
            <v>34255.092409659745</v>
          </cell>
          <cell r="X63">
            <v>0</v>
          </cell>
          <cell r="Y63">
            <v>34255.092409659745</v>
          </cell>
          <cell r="Z63">
            <v>0</v>
          </cell>
          <cell r="AA63">
            <v>475.76517235638539</v>
          </cell>
          <cell r="AB63">
            <v>23.057832511738386</v>
          </cell>
          <cell r="AC63">
            <v>10</v>
          </cell>
          <cell r="AD63">
            <v>70.915754751118882</v>
          </cell>
          <cell r="AE63">
            <v>114.09394629884994</v>
          </cell>
          <cell r="AF63">
            <v>24.935281570041163</v>
          </cell>
          <cell r="AG63">
            <v>35.241864618991514</v>
          </cell>
          <cell r="AH63" t="e">
            <v>#N/A</v>
          </cell>
          <cell r="AI63">
            <v>475.76517235638539</v>
          </cell>
          <cell r="AJ63">
            <v>10</v>
          </cell>
          <cell r="AK63">
            <v>47.576517235638541</v>
          </cell>
        </row>
        <row r="64">
          <cell r="A64" t="str">
            <v>P098</v>
          </cell>
          <cell r="B64" t="str">
            <v>PREV</v>
          </cell>
          <cell r="C64" t="str">
            <v>PEOLEII09MEREBAT01</v>
          </cell>
          <cell r="D64" t="str">
            <v>VENTANILLA</v>
          </cell>
          <cell r="E64" t="str">
            <v xml:space="preserve">RECARGA DE BATERÍAS DE RESERVA  </v>
          </cell>
          <cell r="F64" t="str">
            <v>REVISION, TOMA DE PARAMETROS Y RECARGA DE BATERIAS DE RESERVA</v>
          </cell>
          <cell r="G64" t="str">
            <v>LEII0900</v>
          </cell>
          <cell r="H64" t="str">
            <v>NUM</v>
          </cell>
          <cell r="I64">
            <v>1</v>
          </cell>
          <cell r="J64">
            <v>1</v>
          </cell>
          <cell r="K64">
            <v>2</v>
          </cell>
          <cell r="L64">
            <v>2</v>
          </cell>
          <cell r="M64" t="str">
            <v>NO</v>
          </cell>
          <cell r="N64">
            <v>48</v>
          </cell>
          <cell r="O64">
            <v>0</v>
          </cell>
          <cell r="P64">
            <v>0</v>
          </cell>
          <cell r="Q64">
            <v>144</v>
          </cell>
          <cell r="R64">
            <v>0</v>
          </cell>
          <cell r="S64">
            <v>0</v>
          </cell>
          <cell r="T64">
            <v>95.153034471276968</v>
          </cell>
          <cell r="U64"/>
          <cell r="V64">
            <v>0</v>
          </cell>
          <cell r="W64">
            <v>13702.036963863884</v>
          </cell>
          <cell r="X64">
            <v>0</v>
          </cell>
          <cell r="Y64">
            <v>13702.036963863884</v>
          </cell>
          <cell r="Z64">
            <v>0</v>
          </cell>
          <cell r="AA64">
            <v>95.153034471276968</v>
          </cell>
          <cell r="AB64">
            <v>23.057832511738386</v>
          </cell>
          <cell r="AC64">
            <v>2</v>
          </cell>
          <cell r="AD64">
            <v>14.183150950223741</v>
          </cell>
          <cell r="AE64">
            <v>22.818789259769932</v>
          </cell>
          <cell r="AF64">
            <v>4.9870563140082265</v>
          </cell>
          <cell r="AG64">
            <v>7.0483729237982935</v>
          </cell>
          <cell r="AH64" t="str">
            <v>Electricidad</v>
          </cell>
          <cell r="AI64">
            <v>95.153034471276968</v>
          </cell>
          <cell r="AJ64">
            <v>2</v>
          </cell>
          <cell r="AK64">
            <v>47.576517235638484</v>
          </cell>
        </row>
        <row r="65">
          <cell r="A65" t="str">
            <v>P016</v>
          </cell>
          <cell r="B65" t="str">
            <v>PREV</v>
          </cell>
          <cell r="C65" t="str">
            <v>PEOLEII0900MEIGN02</v>
          </cell>
          <cell r="D65" t="str">
            <v>SANTA ROSA</v>
          </cell>
          <cell r="E65" t="str">
            <v xml:space="preserve">MANTTO Y PRUEBAS BUJIA </v>
          </cell>
          <cell r="F65" t="str">
            <v>REVISION, MEDIDA DE RESISTENCIA DE AISLAMIENTO DE BUJIA, CABLE, TRANSFORMADOR Y PRUEBA DE COMPONENTES. RETIRO DE ALOJAMIENTO Y PRUEBA DE FUNCIONAMIENTO, MONTAJE DE BUJIA.</v>
          </cell>
          <cell r="G65" t="str">
            <v>LEII0900</v>
          </cell>
          <cell r="H65" t="str">
            <v>NUM</v>
          </cell>
          <cell r="I65">
            <v>1</v>
          </cell>
          <cell r="J65">
            <v>1</v>
          </cell>
          <cell r="K65">
            <v>2</v>
          </cell>
          <cell r="L65">
            <v>2</v>
          </cell>
          <cell r="M65" t="str">
            <v>NO</v>
          </cell>
          <cell r="N65">
            <v>0</v>
          </cell>
          <cell r="O65">
            <v>12</v>
          </cell>
          <cell r="P65">
            <v>0</v>
          </cell>
          <cell r="Q65">
            <v>0</v>
          </cell>
          <cell r="R65">
            <v>36</v>
          </cell>
          <cell r="S65">
            <v>0</v>
          </cell>
          <cell r="T65"/>
          <cell r="U65">
            <v>98.558844330847805</v>
          </cell>
          <cell r="V65">
            <v>0</v>
          </cell>
          <cell r="W65">
            <v>0</v>
          </cell>
          <cell r="X65">
            <v>3548.118395910521</v>
          </cell>
          <cell r="Y65">
            <v>3548.118395910521</v>
          </cell>
          <cell r="Z65">
            <v>0</v>
          </cell>
          <cell r="AA65">
            <v>98.558844330847805</v>
          </cell>
          <cell r="AB65">
            <v>23.057832511738386</v>
          </cell>
          <cell r="AC65">
            <v>2</v>
          </cell>
          <cell r="AD65">
            <v>14.216098922713812</v>
          </cell>
          <cell r="AE65">
            <v>25.760867370063618</v>
          </cell>
          <cell r="AF65">
            <v>5.1655578789752514</v>
          </cell>
          <cell r="AG65">
            <v>7.3006551356183564</v>
          </cell>
          <cell r="AH65" t="str">
            <v>Electricidad</v>
          </cell>
          <cell r="AI65">
            <v>98.558844330847805</v>
          </cell>
          <cell r="AJ65">
            <v>2</v>
          </cell>
          <cell r="AK65">
            <v>49.279422165423902</v>
          </cell>
        </row>
        <row r="66">
          <cell r="A66" t="str">
            <v>P015</v>
          </cell>
          <cell r="B66" t="str">
            <v>PREV</v>
          </cell>
          <cell r="C66" t="str">
            <v>PEOLEII0900MEIGN01</v>
          </cell>
          <cell r="D66" t="str">
            <v>VENTANILLA</v>
          </cell>
          <cell r="E66" t="str">
            <v>MANTTO BUJIA</v>
          </cell>
          <cell r="F66" t="str">
            <v>REVISION, MEDIDA DE RESISTENCIA DE AISLAMIENTO DE BUJIA, CABLE, TRANSFORMADOR Y PRUEBA DE COMPONENTES</v>
          </cell>
          <cell r="G66" t="str">
            <v>LEII0900</v>
          </cell>
          <cell r="H66" t="str">
            <v>NUM</v>
          </cell>
          <cell r="I66">
            <v>1</v>
          </cell>
          <cell r="J66">
            <v>0.3</v>
          </cell>
          <cell r="K66">
            <v>2</v>
          </cell>
          <cell r="L66">
            <v>0.6</v>
          </cell>
          <cell r="M66" t="str">
            <v>NO</v>
          </cell>
          <cell r="N66">
            <v>28</v>
          </cell>
          <cell r="O66">
            <v>0</v>
          </cell>
          <cell r="P66">
            <v>0</v>
          </cell>
          <cell r="Q66">
            <v>84</v>
          </cell>
          <cell r="R66">
            <v>0</v>
          </cell>
          <cell r="S66">
            <v>0</v>
          </cell>
          <cell r="T66">
            <v>29.567653299254346</v>
          </cell>
          <cell r="U66"/>
          <cell r="V66">
            <v>0</v>
          </cell>
          <cell r="W66">
            <v>2483.6828771373648</v>
          </cell>
          <cell r="X66">
            <v>0</v>
          </cell>
          <cell r="Y66">
            <v>2483.6828771373648</v>
          </cell>
          <cell r="Z66">
            <v>0</v>
          </cell>
          <cell r="AA66">
            <v>29.567653299254346</v>
          </cell>
          <cell r="AB66">
            <v>23.057832511738386</v>
          </cell>
          <cell r="AC66">
            <v>0.6</v>
          </cell>
          <cell r="AD66">
            <v>4.2648296768141449</v>
          </cell>
          <cell r="AE66">
            <v>7.7282602110190872</v>
          </cell>
          <cell r="AF66">
            <v>1.549667363692576</v>
          </cell>
          <cell r="AG66">
            <v>2.1901965406855073</v>
          </cell>
          <cell r="AH66" t="str">
            <v>Electricidad</v>
          </cell>
          <cell r="AI66">
            <v>29.567653299254346</v>
          </cell>
          <cell r="AJ66">
            <v>0.6</v>
          </cell>
          <cell r="AK66">
            <v>49.27942216542391</v>
          </cell>
        </row>
        <row r="67">
          <cell r="A67" t="str">
            <v>P029</v>
          </cell>
          <cell r="B67" t="str">
            <v>PREV</v>
          </cell>
          <cell r="C67" t="str">
            <v>PEOLEII0900METRA04</v>
          </cell>
          <cell r="D67" t="str">
            <v>VENTANILLA Y MALACAS</v>
          </cell>
          <cell r="E67" t="str">
            <v>MANTTO Y PRUEBAS TRAFOS BT</v>
          </cell>
          <cell r="F67" t="str">
            <v>REVISIÓN, LIMPIEZA, DESCONEXIÓN, MEDICIÓN DE RESISTENCIA DE AISLAMIENTO, RESISTENCIA DE BOBINADO, RECONEXIÓN DE TERMINALES AT/BT DEL TRANSFORMADOR.</v>
          </cell>
          <cell r="G67" t="str">
            <v>LEII0900</v>
          </cell>
          <cell r="H67" t="str">
            <v>NUM</v>
          </cell>
          <cell r="I67">
            <v>1</v>
          </cell>
          <cell r="J67">
            <v>2</v>
          </cell>
          <cell r="K67">
            <v>2</v>
          </cell>
          <cell r="L67">
            <v>4</v>
          </cell>
          <cell r="M67" t="str">
            <v>NO</v>
          </cell>
          <cell r="N67">
            <v>20</v>
          </cell>
          <cell r="O67">
            <v>0</v>
          </cell>
          <cell r="P67">
            <v>16</v>
          </cell>
          <cell r="Q67">
            <v>60</v>
          </cell>
          <cell r="R67">
            <v>0</v>
          </cell>
          <cell r="S67">
            <v>48</v>
          </cell>
          <cell r="T67">
            <v>197.04331395490908</v>
          </cell>
          <cell r="U67"/>
          <cell r="V67">
            <v>197.04331395490908</v>
          </cell>
          <cell r="W67">
            <v>11822.598837294545</v>
          </cell>
          <cell r="X67">
            <v>0</v>
          </cell>
          <cell r="Y67">
            <v>11822.598837294545</v>
          </cell>
          <cell r="Z67">
            <v>9458.0790698356359</v>
          </cell>
          <cell r="AA67">
            <v>197.04331395490908</v>
          </cell>
          <cell r="AB67">
            <v>23.057832511738386</v>
          </cell>
          <cell r="AC67">
            <v>4</v>
          </cell>
          <cell r="AD67">
            <v>28.409094958705733</v>
          </cell>
          <cell r="AE67">
            <v>51.479870203031382</v>
          </cell>
          <cell r="AF67">
            <v>10.32721771252144</v>
          </cell>
          <cell r="AG67">
            <v>14.595801033696969</v>
          </cell>
          <cell r="AH67" t="str">
            <v>Electricidad</v>
          </cell>
          <cell r="AI67">
            <v>197.04331395490908</v>
          </cell>
          <cell r="AJ67">
            <v>4</v>
          </cell>
          <cell r="AK67">
            <v>49.26082848872727</v>
          </cell>
        </row>
        <row r="68">
          <cell r="A68" t="str">
            <v>P028</v>
          </cell>
          <cell r="B68" t="str">
            <v>PREV</v>
          </cell>
          <cell r="C68" t="str">
            <v>PEOLEII0900METRA02</v>
          </cell>
          <cell r="D68" t="str">
            <v>VENTANILLA, SANTA ROSA Y MALACAS</v>
          </cell>
          <cell r="E68" t="str">
            <v>MANTTO  Y PRUEBAS TRAFOS MT SECOS</v>
          </cell>
          <cell r="F68" t="str">
            <v>REVISIÓN, LIMPIEZA, DESCONEXIÓN, MEDICIÓN DE RESISTENCIA DE AISLAMIENTO, RESISTENCIA DE BOBINADO, RECONEXIÓN DE TERMINALES AT BT DEL TRANSFORMADOR. REVISIÓN Y PRUEBAS DE CALEFACCION.</v>
          </cell>
          <cell r="G68" t="str">
            <v>LEII0900</v>
          </cell>
          <cell r="H68" t="str">
            <v>NUM</v>
          </cell>
          <cell r="I68">
            <v>1</v>
          </cell>
          <cell r="J68">
            <v>4</v>
          </cell>
          <cell r="K68">
            <v>3</v>
          </cell>
          <cell r="L68">
            <v>12</v>
          </cell>
          <cell r="M68" t="str">
            <v>SI</v>
          </cell>
          <cell r="N68">
            <v>10</v>
          </cell>
          <cell r="O68">
            <v>3</v>
          </cell>
          <cell r="P68">
            <v>5</v>
          </cell>
          <cell r="Q68">
            <v>30</v>
          </cell>
          <cell r="R68">
            <v>9</v>
          </cell>
          <cell r="S68">
            <v>15</v>
          </cell>
          <cell r="T68">
            <v>584.60925577496471</v>
          </cell>
          <cell r="U68">
            <v>584.60925577496471</v>
          </cell>
          <cell r="V68">
            <v>584.60925577496471</v>
          </cell>
          <cell r="W68">
            <v>17538.27767324894</v>
          </cell>
          <cell r="X68">
            <v>5261.483301974682</v>
          </cell>
          <cell r="Y68">
            <v>22799.760975223624</v>
          </cell>
          <cell r="Z68">
            <v>8769.1388366244701</v>
          </cell>
          <cell r="AA68">
            <v>584.60925577496471</v>
          </cell>
          <cell r="AB68">
            <v>22.522865491628611</v>
          </cell>
          <cell r="AC68">
            <v>12</v>
          </cell>
          <cell r="AD68">
            <v>85.484633207893353</v>
          </cell>
          <cell r="AE68">
            <v>154.90594924945071</v>
          </cell>
          <cell r="AF68">
            <v>30.639898101413245</v>
          </cell>
          <cell r="AG68">
            <v>43.304389316664057</v>
          </cell>
          <cell r="AH68" t="str">
            <v>Electricidad</v>
          </cell>
          <cell r="AI68">
            <v>584.60925577496471</v>
          </cell>
          <cell r="AJ68">
            <v>12</v>
          </cell>
          <cell r="AK68">
            <v>48.717437981247059</v>
          </cell>
        </row>
        <row r="69">
          <cell r="A69" t="str">
            <v>P008</v>
          </cell>
          <cell r="B69" t="str">
            <v>PREV</v>
          </cell>
          <cell r="C69" t="str">
            <v>PEOLEII0900MEGEM01</v>
          </cell>
          <cell r="D69" t="str">
            <v>VENTANILLA Y SANTA ROSA</v>
          </cell>
          <cell r="E69" t="str">
            <v>MANTTO GRUPO DE EMERGENCIA</v>
          </cell>
          <cell r="F69" t="str">
            <v>REVISION, LIMPIEZA, AJUSTE BORNES TABLERO, PRUEBAS CALEFACCIONES DE GRUPO, CARGADOR DE BATERIAS, MEGADO TRAFO.</v>
          </cell>
          <cell r="G69" t="str">
            <v>LEII0900</v>
          </cell>
          <cell r="H69" t="str">
            <v>NUM</v>
          </cell>
          <cell r="I69">
            <v>1</v>
          </cell>
          <cell r="J69">
            <v>3</v>
          </cell>
          <cell r="K69">
            <v>2</v>
          </cell>
          <cell r="L69">
            <v>6</v>
          </cell>
          <cell r="M69" t="str">
            <v>NO</v>
          </cell>
          <cell r="N69">
            <v>9</v>
          </cell>
          <cell r="O69">
            <v>4</v>
          </cell>
          <cell r="P69">
            <v>0</v>
          </cell>
          <cell r="Q69">
            <v>27</v>
          </cell>
          <cell r="R69">
            <v>12</v>
          </cell>
          <cell r="S69">
            <v>0</v>
          </cell>
          <cell r="T69">
            <v>295.6765329925434</v>
          </cell>
          <cell r="U69">
            <v>295.6765329925434</v>
          </cell>
          <cell r="V69">
            <v>0</v>
          </cell>
          <cell r="W69">
            <v>7983.2663907986716</v>
          </cell>
          <cell r="X69">
            <v>3548.118395910521</v>
          </cell>
          <cell r="Y69">
            <v>11531.384786709194</v>
          </cell>
          <cell r="Z69">
            <v>0</v>
          </cell>
          <cell r="AA69">
            <v>295.6765329925434</v>
          </cell>
          <cell r="AB69">
            <v>23.057832511738386</v>
          </cell>
          <cell r="AC69">
            <v>6</v>
          </cell>
          <cell r="AD69">
            <v>42.648296768141421</v>
          </cell>
          <cell r="AE69">
            <v>77.282602110190822</v>
          </cell>
          <cell r="AF69">
            <v>15.496673636925753</v>
          </cell>
          <cell r="AG69">
            <v>21.901965406855066</v>
          </cell>
          <cell r="AH69" t="str">
            <v>Electricidad</v>
          </cell>
          <cell r="AI69">
            <v>295.6765329925434</v>
          </cell>
          <cell r="AJ69">
            <v>6</v>
          </cell>
          <cell r="AK69">
            <v>49.279422165423902</v>
          </cell>
        </row>
        <row r="70">
          <cell r="A70" t="str">
            <v>C359</v>
          </cell>
          <cell r="B70" t="str">
            <v>COND</v>
          </cell>
          <cell r="C70" t="str">
            <v>PEOLEII09MELIMP003</v>
          </cell>
          <cell r="D70" t="str">
            <v>VENTANILLA Y MALACAS</v>
          </cell>
          <cell r="E70" t="str">
            <v>REVISION, LIMPIEZA RESISTENCIA NEUTRO TRAFO</v>
          </cell>
          <cell r="F70" t="str">
            <v>REVISION, LIMPIEZA RESISTENCIA NEUTRO TRAFO</v>
          </cell>
          <cell r="G70" t="str">
            <v>LEII0900</v>
          </cell>
          <cell r="H70" t="str">
            <v>NUM</v>
          </cell>
          <cell r="I70">
            <v>1</v>
          </cell>
          <cell r="J70">
            <v>1</v>
          </cell>
          <cell r="K70">
            <v>2</v>
          </cell>
          <cell r="L70">
            <v>2</v>
          </cell>
          <cell r="M70" t="str">
            <v>NO</v>
          </cell>
          <cell r="N70">
            <v>3</v>
          </cell>
          <cell r="O70">
            <v>0</v>
          </cell>
          <cell r="P70">
            <v>1</v>
          </cell>
          <cell r="Q70">
            <v>9</v>
          </cell>
          <cell r="R70">
            <v>0</v>
          </cell>
          <cell r="S70">
            <v>3</v>
          </cell>
          <cell r="T70">
            <v>96.224337159304795</v>
          </cell>
          <cell r="U70"/>
          <cell r="V70">
            <v>96.224337159304795</v>
          </cell>
          <cell r="W70">
            <v>866.01903443374317</v>
          </cell>
          <cell r="X70">
            <v>0</v>
          </cell>
          <cell r="Y70">
            <v>866.01903443374317</v>
          </cell>
          <cell r="Z70">
            <v>288.67301147791437</v>
          </cell>
          <cell r="AA70">
            <v>96.224337159304795</v>
          </cell>
          <cell r="AB70">
            <v>23.057832511738386</v>
          </cell>
          <cell r="AC70">
            <v>2</v>
          </cell>
          <cell r="AD70">
            <v>14.541850475488802</v>
          </cell>
          <cell r="AE70">
            <v>23.395888728239868</v>
          </cell>
          <cell r="AF70">
            <v>5.0432042536323269</v>
          </cell>
          <cell r="AG70">
            <v>7.1277286784670224</v>
          </cell>
          <cell r="AH70" t="e">
            <v>#N/A</v>
          </cell>
          <cell r="AI70">
            <v>96.224337159304795</v>
          </cell>
          <cell r="AJ70">
            <v>2</v>
          </cell>
          <cell r="AK70">
            <v>48.112168579652398</v>
          </cell>
        </row>
        <row r="71">
          <cell r="A71" t="str">
            <v>P005</v>
          </cell>
          <cell r="B71" t="str">
            <v>PREV</v>
          </cell>
          <cell r="C71" t="str">
            <v>PEOLEII0900MECAT02</v>
          </cell>
          <cell r="D71" t="str">
            <v>VENTANILLA</v>
          </cell>
          <cell r="E71" t="str">
            <v>MANTTO CORRIENTE IMPRESA P.CATODICA</v>
          </cell>
          <cell r="F71" t="str">
            <v>REVISIÓN, LIMPIEZA RECTIFICADOR, MEDIDA, REVISION Y PRUEBA DE ANODOS REFERENCIA.</v>
          </cell>
          <cell r="G71" t="str">
            <v>LEII0900</v>
          </cell>
          <cell r="H71" t="str">
            <v>NUM</v>
          </cell>
          <cell r="I71">
            <v>1</v>
          </cell>
          <cell r="J71">
            <v>3</v>
          </cell>
          <cell r="K71">
            <v>2</v>
          </cell>
          <cell r="L71">
            <v>6</v>
          </cell>
          <cell r="M71" t="str">
            <v>NO</v>
          </cell>
          <cell r="N71">
            <v>2</v>
          </cell>
          <cell r="O71">
            <v>0</v>
          </cell>
          <cell r="P71">
            <v>0</v>
          </cell>
          <cell r="Q71">
            <v>6</v>
          </cell>
          <cell r="R71">
            <v>0</v>
          </cell>
          <cell r="S71">
            <v>0</v>
          </cell>
          <cell r="T71">
            <v>295.67653299254386</v>
          </cell>
          <cell r="U71"/>
          <cell r="V71">
            <v>0</v>
          </cell>
          <cell r="W71">
            <v>1774.0591979552632</v>
          </cell>
          <cell r="X71">
            <v>0</v>
          </cell>
          <cell r="Y71">
            <v>1774.0591979552632</v>
          </cell>
          <cell r="Z71">
            <v>0</v>
          </cell>
          <cell r="AA71">
            <v>295.67653299254386</v>
          </cell>
          <cell r="AB71">
            <v>23.057832511738386</v>
          </cell>
          <cell r="AC71">
            <v>6</v>
          </cell>
          <cell r="AD71">
            <v>42.648296768141563</v>
          </cell>
          <cell r="AE71">
            <v>77.282602110191078</v>
          </cell>
          <cell r="AF71">
            <v>15.496673636925779</v>
          </cell>
          <cell r="AG71">
            <v>21.901965406855101</v>
          </cell>
          <cell r="AH71" t="str">
            <v>Electricidad</v>
          </cell>
          <cell r="AI71">
            <v>295.67653299254386</v>
          </cell>
          <cell r="AJ71">
            <v>6</v>
          </cell>
          <cell r="AK71">
            <v>49.279422165423973</v>
          </cell>
        </row>
        <row r="72">
          <cell r="A72" t="str">
            <v>P102</v>
          </cell>
          <cell r="B72" t="str">
            <v>PREV</v>
          </cell>
          <cell r="C72" t="str">
            <v>PEOLEII09MEINV0001</v>
          </cell>
          <cell r="D72" t="str">
            <v>VENTANILLA Y MALACAS</v>
          </cell>
          <cell r="E72" t="str">
            <v>MANTENIMIENTO INTERNO INVERSORES 1-2 LADO C.C Y MODULOS</v>
          </cell>
          <cell r="F72" t="str">
            <v>REVISION, LIMPIEZA INTERNA, AJUSTE DE CONECTORES DE COMPONENTES</v>
          </cell>
          <cell r="G72" t="str">
            <v>LEII0900</v>
          </cell>
          <cell r="H72" t="str">
            <v>NUM</v>
          </cell>
          <cell r="I72">
            <v>3</v>
          </cell>
          <cell r="J72">
            <v>10</v>
          </cell>
          <cell r="K72">
            <v>4</v>
          </cell>
          <cell r="L72">
            <v>120</v>
          </cell>
          <cell r="M72" t="str">
            <v>NO</v>
          </cell>
          <cell r="N72">
            <v>16</v>
          </cell>
          <cell r="O72">
            <v>0</v>
          </cell>
          <cell r="P72">
            <v>2</v>
          </cell>
          <cell r="Q72">
            <v>48</v>
          </cell>
          <cell r="R72">
            <v>0</v>
          </cell>
          <cell r="S72">
            <v>6</v>
          </cell>
          <cell r="T72">
            <v>1669.7186146996439</v>
          </cell>
          <cell r="U72"/>
          <cell r="V72">
            <v>1669.7186146996439</v>
          </cell>
          <cell r="W72">
            <v>80146.493505582912</v>
          </cell>
          <cell r="X72">
            <v>0</v>
          </cell>
          <cell r="Y72">
            <v>80146.493505582912</v>
          </cell>
          <cell r="Z72">
            <v>10018.311688197864</v>
          </cell>
          <cell r="AA72">
            <v>1669.7186146996439</v>
          </cell>
          <cell r="AB72">
            <v>18.357846183206494</v>
          </cell>
          <cell r="AC72">
            <v>40</v>
          </cell>
          <cell r="AD72">
            <v>277.59587910422914</v>
          </cell>
          <cell r="AE72">
            <v>446.61457012555093</v>
          </cell>
          <cell r="AF72">
            <v>87.511457793482393</v>
          </cell>
          <cell r="AG72">
            <v>123.68286034812178</v>
          </cell>
          <cell r="AH72" t="str">
            <v>Instrumentación</v>
          </cell>
          <cell r="AI72">
            <v>1669.7186146996439</v>
          </cell>
          <cell r="AJ72">
            <v>120</v>
          </cell>
          <cell r="AK72">
            <v>13.914321789163699</v>
          </cell>
        </row>
        <row r="73">
          <cell r="A73" t="str">
            <v>P103</v>
          </cell>
          <cell r="B73" t="str">
            <v>PREV</v>
          </cell>
          <cell r="C73" t="str">
            <v>PEOLEII09MEINV0002</v>
          </cell>
          <cell r="D73" t="str">
            <v>VENTANILLA</v>
          </cell>
          <cell r="E73" t="str">
            <v xml:space="preserve">MANTENIMIENTO INTERNO 4  INVERSORES LADO C.A </v>
          </cell>
          <cell r="F73" t="str">
            <v>REVISION, LIMPIEZA INTERNA, AJUSTE DE CONECTORES DE COMPONENTES</v>
          </cell>
          <cell r="G73" t="str">
            <v>LEII0900</v>
          </cell>
          <cell r="H73" t="str">
            <v>NUM</v>
          </cell>
          <cell r="I73">
            <v>1</v>
          </cell>
          <cell r="J73">
            <v>10</v>
          </cell>
          <cell r="K73">
            <v>4</v>
          </cell>
          <cell r="L73">
            <v>40</v>
          </cell>
          <cell r="M73" t="str">
            <v>NO</v>
          </cell>
          <cell r="N73">
            <v>8</v>
          </cell>
          <cell r="O73">
            <v>0</v>
          </cell>
          <cell r="P73">
            <v>0</v>
          </cell>
          <cell r="Q73">
            <v>24</v>
          </cell>
          <cell r="R73">
            <v>0</v>
          </cell>
          <cell r="S73">
            <v>0</v>
          </cell>
          <cell r="T73">
            <v>1682.0134967345675</v>
          </cell>
          <cell r="U73"/>
          <cell r="V73">
            <v>0</v>
          </cell>
          <cell r="W73">
            <v>40368.323921629621</v>
          </cell>
          <cell r="X73">
            <v>0</v>
          </cell>
          <cell r="Y73">
            <v>40368.323921629621</v>
          </cell>
          <cell r="Z73">
            <v>0</v>
          </cell>
          <cell r="AA73">
            <v>1682.0134967345675</v>
          </cell>
          <cell r="AB73">
            <v>18.357846183206494</v>
          </cell>
          <cell r="AC73">
            <v>40</v>
          </cell>
          <cell r="AD73">
            <v>281.71251989903175</v>
          </cell>
          <cell r="AE73">
            <v>453.23769351219806</v>
          </cell>
          <cell r="AF73">
            <v>88.155843644369369</v>
          </cell>
          <cell r="AG73">
            <v>124.59359235070872</v>
          </cell>
          <cell r="AH73" t="str">
            <v>Instrumentación</v>
          </cell>
          <cell r="AI73">
            <v>1682.0134967345675</v>
          </cell>
          <cell r="AJ73">
            <v>40</v>
          </cell>
          <cell r="AK73">
            <v>42.050337418364187</v>
          </cell>
        </row>
        <row r="74">
          <cell r="A74" t="str">
            <v>P001</v>
          </cell>
          <cell r="B74" t="str">
            <v>PREV</v>
          </cell>
          <cell r="C74" t="str">
            <v>PEOLEII0900MEGEN02</v>
          </cell>
          <cell r="D74" t="str">
            <v>SANTA ROSA</v>
          </cell>
          <cell r="E74" t="str">
            <v>REVISIÓN / CAMBIO  CARBONES PAT ROTOR ALTERNADOR UTI</v>
          </cell>
          <cell r="F74" t="str">
            <v>Revision y/o cambio  de carbones de PAT rotor</v>
          </cell>
          <cell r="G74" t="str">
            <v>LEII0900</v>
          </cell>
          <cell r="H74" t="str">
            <v>NUM</v>
          </cell>
          <cell r="I74">
            <v>1</v>
          </cell>
          <cell r="J74">
            <v>1</v>
          </cell>
          <cell r="K74">
            <v>2</v>
          </cell>
          <cell r="L74">
            <v>2</v>
          </cell>
          <cell r="M74" t="str">
            <v>NO</v>
          </cell>
          <cell r="N74">
            <v>0</v>
          </cell>
          <cell r="O74">
            <v>6</v>
          </cell>
          <cell r="P74">
            <v>0</v>
          </cell>
          <cell r="Q74">
            <v>0</v>
          </cell>
          <cell r="R74">
            <v>18</v>
          </cell>
          <cell r="S74">
            <v>0</v>
          </cell>
          <cell r="T74"/>
          <cell r="U74">
            <v>98.558844330847748</v>
          </cell>
          <cell r="V74">
            <v>0</v>
          </cell>
          <cell r="W74">
            <v>0</v>
          </cell>
          <cell r="X74">
            <v>1774.0591979552594</v>
          </cell>
          <cell r="Y74">
            <v>1774.0591979552594</v>
          </cell>
          <cell r="Z74">
            <v>0</v>
          </cell>
          <cell r="AA74">
            <v>98.558844330847748</v>
          </cell>
          <cell r="AB74">
            <v>23.057832511738386</v>
          </cell>
          <cell r="AC74">
            <v>2</v>
          </cell>
          <cell r="AD74">
            <v>14.216098922713792</v>
          </cell>
          <cell r="AE74">
            <v>25.760867370063583</v>
          </cell>
          <cell r="AF74">
            <v>5.1655578789752488</v>
          </cell>
          <cell r="AG74">
            <v>7.3006551356183511</v>
          </cell>
          <cell r="AH74" t="str">
            <v>Electricidad</v>
          </cell>
          <cell r="AI74">
            <v>98.558844330847748</v>
          </cell>
          <cell r="AJ74">
            <v>2</v>
          </cell>
          <cell r="AK74">
            <v>49.279422165423874</v>
          </cell>
        </row>
        <row r="75">
          <cell r="A75" t="str">
            <v>C334</v>
          </cell>
          <cell r="B75" t="str">
            <v>COND</v>
          </cell>
          <cell r="C75" t="str">
            <v>PEOLEII09MEMEGA001</v>
          </cell>
          <cell r="D75" t="str">
            <v>VENTANILLA</v>
          </cell>
          <cell r="E75" t="str">
            <v>REVISIÓN Y MEGADO CABLE Y MOTOR SUMERGIBLE</v>
          </cell>
          <cell r="F75" t="str">
            <v>REVISION Y PRUEBAS ELECTRICAS MOTOR Y CABLES SUMERGIBLES</v>
          </cell>
          <cell r="G75" t="str">
            <v>LEII0900</v>
          </cell>
          <cell r="H75" t="str">
            <v>NUM</v>
          </cell>
          <cell r="I75">
            <v>1</v>
          </cell>
          <cell r="J75">
            <v>3</v>
          </cell>
          <cell r="K75">
            <v>2</v>
          </cell>
          <cell r="L75">
            <v>6</v>
          </cell>
          <cell r="M75" t="str">
            <v>NO</v>
          </cell>
          <cell r="N75">
            <v>4</v>
          </cell>
          <cell r="O75">
            <v>0</v>
          </cell>
          <cell r="P75">
            <v>0</v>
          </cell>
          <cell r="Q75">
            <v>12</v>
          </cell>
          <cell r="R75">
            <v>0</v>
          </cell>
          <cell r="S75">
            <v>0</v>
          </cell>
          <cell r="T75">
            <v>570.91820682766161</v>
          </cell>
          <cell r="U75"/>
          <cell r="V75">
            <v>0</v>
          </cell>
          <cell r="W75">
            <v>6851.0184819319393</v>
          </cell>
          <cell r="X75">
            <v>0</v>
          </cell>
          <cell r="Y75">
            <v>6851.0184819319393</v>
          </cell>
          <cell r="Z75">
            <v>0</v>
          </cell>
          <cell r="AA75">
            <v>570.91820682766161</v>
          </cell>
          <cell r="AB75">
            <v>23.057832511738386</v>
          </cell>
          <cell r="AC75">
            <v>12</v>
          </cell>
          <cell r="AD75">
            <v>85.09890570134236</v>
          </cell>
          <cell r="AE75">
            <v>136.91273555861946</v>
          </cell>
          <cell r="AF75">
            <v>29.922337884049345</v>
          </cell>
          <cell r="AG75">
            <v>42.290237542789747</v>
          </cell>
          <cell r="AH75" t="e">
            <v>#N/A</v>
          </cell>
          <cell r="AI75">
            <v>570.91820682766161</v>
          </cell>
          <cell r="AJ75">
            <v>6</v>
          </cell>
          <cell r="AK75">
            <v>95.153034471276939</v>
          </cell>
        </row>
        <row r="76">
          <cell r="A76" t="str">
            <v>C335</v>
          </cell>
          <cell r="B76" t="str">
            <v>COND</v>
          </cell>
          <cell r="C76" t="str">
            <v>PEOLEII09MEREV0001</v>
          </cell>
          <cell r="D76" t="str">
            <v>VENTANILLA, SANTA ROSA Y MALACAS</v>
          </cell>
          <cell r="E76" t="str">
            <v>REVISIÓN EQUIPOS ELECTRICOS DE RESERVA</v>
          </cell>
          <cell r="F76" t="str">
            <v>REVISION Y PRUEBAS ELECTRICAS EQUIPOS DE RESERVA TALES COMO</v>
          </cell>
          <cell r="G76" t="str">
            <v>LEII0900</v>
          </cell>
          <cell r="H76" t="str">
            <v>NUM</v>
          </cell>
          <cell r="I76">
            <v>1</v>
          </cell>
          <cell r="J76">
            <v>1</v>
          </cell>
          <cell r="K76">
            <v>2</v>
          </cell>
          <cell r="L76">
            <v>2</v>
          </cell>
          <cell r="M76" t="str">
            <v>NO</v>
          </cell>
          <cell r="N76">
            <v>10</v>
          </cell>
          <cell r="O76">
            <v>2</v>
          </cell>
          <cell r="P76">
            <v>1</v>
          </cell>
          <cell r="Q76">
            <v>30</v>
          </cell>
          <cell r="R76">
            <v>6</v>
          </cell>
          <cell r="S76">
            <v>3</v>
          </cell>
          <cell r="T76">
            <v>96.224337159304795</v>
          </cell>
          <cell r="U76">
            <v>96.224337159304795</v>
          </cell>
          <cell r="V76">
            <v>96.224337159304795</v>
          </cell>
          <cell r="W76">
            <v>2886.7301147791441</v>
          </cell>
          <cell r="X76">
            <v>577.34602295582874</v>
          </cell>
          <cell r="Y76">
            <v>3464.0761377349727</v>
          </cell>
          <cell r="Z76">
            <v>288.67301147791437</v>
          </cell>
          <cell r="AA76">
            <v>96.224337159304795</v>
          </cell>
          <cell r="AB76">
            <v>23.057832511738386</v>
          </cell>
          <cell r="AC76">
            <v>2</v>
          </cell>
          <cell r="AD76">
            <v>14.541850475488802</v>
          </cell>
          <cell r="AE76">
            <v>23.395888728239868</v>
          </cell>
          <cell r="AF76">
            <v>5.0432042536323269</v>
          </cell>
          <cell r="AG76">
            <v>7.1277286784670224</v>
          </cell>
          <cell r="AH76" t="e">
            <v>#N/A</v>
          </cell>
          <cell r="AI76">
            <v>96.224337159304795</v>
          </cell>
          <cell r="AJ76">
            <v>2</v>
          </cell>
          <cell r="AK76">
            <v>48.112168579652398</v>
          </cell>
        </row>
        <row r="77">
          <cell r="A77" t="str">
            <v>P011</v>
          </cell>
          <cell r="B77" t="str">
            <v>PREV</v>
          </cell>
          <cell r="C77" t="str">
            <v>PEOLEII0900MEGEN03</v>
          </cell>
          <cell r="D77" t="str">
            <v>SANTA ROSA</v>
          </cell>
          <cell r="E77" t="str">
            <v>PRUEBAS ELECT ACOPLE FLEX ALTERNADOR</v>
          </cell>
          <cell r="F77" t="str">
            <v>REVISION Y MEDIDA DE AISLAMIENTO ACOPLE FLEXIBLE</v>
          </cell>
          <cell r="G77" t="str">
            <v>LEII0900</v>
          </cell>
          <cell r="H77" t="str">
            <v>NUM</v>
          </cell>
          <cell r="I77">
            <v>1</v>
          </cell>
          <cell r="J77">
            <v>2</v>
          </cell>
          <cell r="K77">
            <v>2</v>
          </cell>
          <cell r="L77">
            <v>4</v>
          </cell>
          <cell r="M77" t="str">
            <v>NO</v>
          </cell>
          <cell r="N77">
            <v>0</v>
          </cell>
          <cell r="O77">
            <v>4</v>
          </cell>
          <cell r="P77">
            <v>0</v>
          </cell>
          <cell r="Q77">
            <v>0</v>
          </cell>
          <cell r="R77">
            <v>12</v>
          </cell>
          <cell r="S77">
            <v>0</v>
          </cell>
          <cell r="T77"/>
          <cell r="U77">
            <v>197.11768866169561</v>
          </cell>
          <cell r="V77">
            <v>0</v>
          </cell>
          <cell r="W77">
            <v>0</v>
          </cell>
          <cell r="X77">
            <v>2365.4122639403472</v>
          </cell>
          <cell r="Y77">
            <v>2365.4122639403472</v>
          </cell>
          <cell r="Z77">
            <v>0</v>
          </cell>
          <cell r="AA77">
            <v>197.11768866169561</v>
          </cell>
          <cell r="AB77">
            <v>23.057832511738386</v>
          </cell>
          <cell r="AC77">
            <v>4</v>
          </cell>
          <cell r="AD77">
            <v>28.432197845427623</v>
          </cell>
          <cell r="AE77">
            <v>51.521734740127236</v>
          </cell>
          <cell r="AF77">
            <v>10.331115757950503</v>
          </cell>
          <cell r="AG77">
            <v>14.601310271236713</v>
          </cell>
          <cell r="AH77" t="str">
            <v>Electricidad</v>
          </cell>
          <cell r="AI77">
            <v>197.11768866169561</v>
          </cell>
          <cell r="AJ77">
            <v>4</v>
          </cell>
          <cell r="AK77">
            <v>49.279422165423902</v>
          </cell>
        </row>
        <row r="78">
          <cell r="A78" t="str">
            <v>C369</v>
          </cell>
          <cell r="B78" t="str">
            <v>COND</v>
          </cell>
          <cell r="C78" t="str">
            <v>PEOLEII09MEBUSQ001</v>
          </cell>
          <cell r="D78" t="str">
            <v>SANTA ROSA Y MALACAS</v>
          </cell>
          <cell r="E78" t="str">
            <v>BUSQUEDA FALLA A TIERRA CIRCUITOS ELECTRONICOS</v>
          </cell>
          <cell r="F78" t="str">
            <v>Revisión e identificación de falla a tierras, revisión de cables, circuitos eléctricos y electrónicos</v>
          </cell>
          <cell r="G78"/>
          <cell r="H78" t="str">
            <v>NUM</v>
          </cell>
          <cell r="I78">
            <v>1</v>
          </cell>
          <cell r="J78">
            <v>4</v>
          </cell>
          <cell r="K78">
            <v>2</v>
          </cell>
          <cell r="L78">
            <v>8</v>
          </cell>
          <cell r="M78" t="str">
            <v>No</v>
          </cell>
          <cell r="N78">
            <v>0</v>
          </cell>
          <cell r="O78">
            <v>12</v>
          </cell>
          <cell r="P78">
            <v>3</v>
          </cell>
          <cell r="Q78">
            <v>0</v>
          </cell>
          <cell r="R78">
            <v>36</v>
          </cell>
          <cell r="S78">
            <v>9</v>
          </cell>
          <cell r="T78"/>
          <cell r="U78">
            <v>591.12994186472713</v>
          </cell>
          <cell r="V78">
            <v>591.12994186472713</v>
          </cell>
          <cell r="W78">
            <v>0</v>
          </cell>
          <cell r="X78">
            <v>21280.677907130175</v>
          </cell>
          <cell r="Y78">
            <v>21280.677907130175</v>
          </cell>
          <cell r="Z78">
            <v>5320.1694767825438</v>
          </cell>
          <cell r="AA78">
            <v>591.12994186472713</v>
          </cell>
          <cell r="AB78">
            <v>23.057832511738386</v>
          </cell>
          <cell r="AC78">
            <v>12</v>
          </cell>
          <cell r="AD78">
            <v>85.227284876117125</v>
          </cell>
          <cell r="AE78">
            <v>154.43961060909402</v>
          </cell>
          <cell r="AF78">
            <v>30.981653137564312</v>
          </cell>
          <cell r="AG78">
            <v>43.787403101090895</v>
          </cell>
          <cell r="AH78" t="e">
            <v>#N/A</v>
          </cell>
          <cell r="AI78">
            <v>591.12994186472713</v>
          </cell>
          <cell r="AJ78">
            <v>8</v>
          </cell>
          <cell r="AK78">
            <v>73.891242733090891</v>
          </cell>
        </row>
        <row r="79">
          <cell r="A79" t="str">
            <v>P065</v>
          </cell>
          <cell r="B79" t="str">
            <v>PREV</v>
          </cell>
          <cell r="C79" t="str">
            <v>PEOMMIM0100MMIGV09</v>
          </cell>
          <cell r="D79" t="str">
            <v>SANTA ROSA Y MALACAS</v>
          </cell>
          <cell r="E79" t="str">
            <v>REVISION MECANISMO IGV</v>
          </cell>
          <cell r="F79" t="str">
            <v>REVISION DE MECANISMO IGV, PRUEBAS FUNCIONALES DE APERTURA Y CIERRE DE ALABES DE IGV, REVISION DE POSIBLES FUGAS, LIMPIEZA Y ENGRASE DE MECANISMO (PROCEDIMIENTO BOLETIN FABRICANTE)</v>
          </cell>
          <cell r="G79" t="str">
            <v>MMIM0100</v>
          </cell>
          <cell r="H79" t="str">
            <v>NUM</v>
          </cell>
          <cell r="I79">
            <v>1</v>
          </cell>
          <cell r="J79">
            <v>3</v>
          </cell>
          <cell r="K79">
            <v>2</v>
          </cell>
          <cell r="L79">
            <v>6</v>
          </cell>
          <cell r="M79" t="str">
            <v>SI</v>
          </cell>
          <cell r="N79">
            <v>0</v>
          </cell>
          <cell r="O79">
            <v>6</v>
          </cell>
          <cell r="P79">
            <v>3</v>
          </cell>
          <cell r="Q79">
            <v>0</v>
          </cell>
          <cell r="R79">
            <v>18</v>
          </cell>
          <cell r="S79">
            <v>9</v>
          </cell>
          <cell r="T79"/>
          <cell r="U79">
            <v>263.79743594644395</v>
          </cell>
          <cell r="V79">
            <v>263.79743594644395</v>
          </cell>
          <cell r="W79">
            <v>0</v>
          </cell>
          <cell r="X79">
            <v>4748.3538470359908</v>
          </cell>
          <cell r="Y79">
            <v>4748.3538470359908</v>
          </cell>
          <cell r="Z79">
            <v>2374.1769235179954</v>
          </cell>
          <cell r="AA79">
            <v>263.79743594644395</v>
          </cell>
          <cell r="AB79">
            <v>19.171538486527368</v>
          </cell>
          <cell r="AC79">
            <v>6</v>
          </cell>
          <cell r="AD79">
            <v>41.037713822462429</v>
          </cell>
          <cell r="AE79">
            <v>74.364078971199987</v>
          </cell>
          <cell r="AF79">
            <v>13.825861422769597</v>
          </cell>
          <cell r="AG79">
            <v>19.540550810847698</v>
          </cell>
          <cell r="AH79" t="str">
            <v>Mecánica</v>
          </cell>
          <cell r="AI79">
            <v>263.79743594644395</v>
          </cell>
          <cell r="AJ79">
            <v>6</v>
          </cell>
          <cell r="AK79">
            <v>43.966239324407326</v>
          </cell>
        </row>
        <row r="80">
          <cell r="A80" t="str">
            <v>P026</v>
          </cell>
          <cell r="B80" t="str">
            <v>PREV</v>
          </cell>
          <cell r="C80" t="str">
            <v>PEOLEII0900METAB02</v>
          </cell>
          <cell r="D80" t="str">
            <v>VENTANILLA, SANTA ROSA Y MALACAS</v>
          </cell>
          <cell r="E80" t="str">
            <v>MANTTO TABLERO BT</v>
          </cell>
          <cell r="F80" t="str">
            <v>REVISION DE INTERRUPTOR, LIMPIEZA INTERNA, AJUSTE DE TERMINALES, REV. CALEFACCIONES, CONEX. A TIERRA, COMPONENTES, TRIP MANUAL DE INTERRUPTORES PRINCIPALES.</v>
          </cell>
          <cell r="G80" t="str">
            <v>LEII0900</v>
          </cell>
          <cell r="H80" t="str">
            <v>NUM</v>
          </cell>
          <cell r="I80">
            <v>1</v>
          </cell>
          <cell r="J80">
            <v>1</v>
          </cell>
          <cell r="K80">
            <v>2</v>
          </cell>
          <cell r="L80">
            <v>2</v>
          </cell>
          <cell r="M80" t="str">
            <v>NO</v>
          </cell>
          <cell r="N80">
            <v>9</v>
          </cell>
          <cell r="O80">
            <v>22</v>
          </cell>
          <cell r="P80">
            <v>82</v>
          </cell>
          <cell r="Q80">
            <v>27</v>
          </cell>
          <cell r="R80">
            <v>66</v>
          </cell>
          <cell r="S80">
            <v>246</v>
          </cell>
          <cell r="T80">
            <v>91.245129580187395</v>
          </cell>
          <cell r="U80">
            <v>91.245129580187395</v>
          </cell>
          <cell r="V80">
            <v>91.245129580187395</v>
          </cell>
          <cell r="W80">
            <v>2463.6184986650596</v>
          </cell>
          <cell r="X80">
            <v>6022.1785522923683</v>
          </cell>
          <cell r="Y80">
            <v>8485.7970509574279</v>
          </cell>
          <cell r="Z80">
            <v>22446.301876726098</v>
          </cell>
          <cell r="AA80">
            <v>91.245129580187395</v>
          </cell>
          <cell r="AB80">
            <v>23.057832511738386</v>
          </cell>
          <cell r="AC80">
            <v>2</v>
          </cell>
          <cell r="AD80">
            <v>11.527708139675189</v>
          </cell>
          <cell r="AE80">
            <v>22.060618433797195</v>
          </cell>
          <cell r="AF80">
            <v>4.782239495816949</v>
          </cell>
          <cell r="AG80">
            <v>6.7588984874212885</v>
          </cell>
          <cell r="AH80" t="str">
            <v>Electricidad</v>
          </cell>
          <cell r="AI80">
            <v>91.245129580187395</v>
          </cell>
          <cell r="AJ80">
            <v>2</v>
          </cell>
          <cell r="AK80">
            <v>45.622564790093698</v>
          </cell>
        </row>
        <row r="81">
          <cell r="A81" t="str">
            <v>P030</v>
          </cell>
          <cell r="B81" t="str">
            <v>PREV</v>
          </cell>
          <cell r="C81" t="str">
            <v>PEOLEII0900METRA06</v>
          </cell>
          <cell r="D81" t="str">
            <v>VENTANILLA</v>
          </cell>
          <cell r="E81" t="str">
            <v>MANTTO TRAFOS MT EN ACEITE</v>
          </cell>
          <cell r="F81" t="str">
            <v>REVISIÓN DE FUGAS DE ACEITE Y ESTADO DE COMPONENTES, LIMPIEZA,   DESCONEXIÓN, MEDICIÓN DE RESISTENCIA DE AISLAMIENTO, RESISTENCIA DE BOBINADO, RECONEXIÓN DE TERMINALES AT/BT DEL TRANSFORMADOR. REVISIÓN, LIMPIEZA Y AJUSTE DE BORNES TABLERO DE CONTROL , PRUEBAS ELÉCTRICAS CALEFACCIÓN.</v>
          </cell>
          <cell r="G81" t="str">
            <v>LEII0900</v>
          </cell>
          <cell r="H81" t="str">
            <v>NUM</v>
          </cell>
          <cell r="I81">
            <v>1</v>
          </cell>
          <cell r="J81">
            <v>6</v>
          </cell>
          <cell r="K81">
            <v>3</v>
          </cell>
          <cell r="L81">
            <v>18</v>
          </cell>
          <cell r="M81" t="str">
            <v>SI</v>
          </cell>
          <cell r="N81">
            <v>6</v>
          </cell>
          <cell r="O81">
            <v>0</v>
          </cell>
          <cell r="P81">
            <v>0</v>
          </cell>
          <cell r="Q81">
            <v>18</v>
          </cell>
          <cell r="R81">
            <v>0</v>
          </cell>
          <cell r="S81">
            <v>0</v>
          </cell>
          <cell r="T81">
            <v>845.05518558618326</v>
          </cell>
          <cell r="U81"/>
          <cell r="V81">
            <v>0</v>
          </cell>
          <cell r="W81">
            <v>15210.993340551298</v>
          </cell>
          <cell r="X81">
            <v>0</v>
          </cell>
          <cell r="Y81">
            <v>15210.993340551298</v>
          </cell>
          <cell r="Z81">
            <v>0</v>
          </cell>
          <cell r="AA81">
            <v>845.05518558618326</v>
          </cell>
          <cell r="AB81">
            <v>22.522865491628611</v>
          </cell>
          <cell r="AC81">
            <v>18</v>
          </cell>
          <cell r="AD81">
            <v>127.54845321622039</v>
          </cell>
          <cell r="AE81">
            <v>205.20836904049477</v>
          </cell>
          <cell r="AF81">
            <v>44.290104066361806</v>
          </cell>
          <cell r="AG81">
            <v>62.596680413791354</v>
          </cell>
          <cell r="AH81" t="str">
            <v>Electricidad</v>
          </cell>
          <cell r="AI81">
            <v>845.05518558618326</v>
          </cell>
          <cell r="AJ81">
            <v>18</v>
          </cell>
          <cell r="AK81">
            <v>46.947510310343517</v>
          </cell>
        </row>
        <row r="82">
          <cell r="A82" t="str">
            <v>C348</v>
          </cell>
          <cell r="B82" t="str">
            <v>COND</v>
          </cell>
          <cell r="C82" t="str">
            <v>PEOLEII09MELIMP002</v>
          </cell>
          <cell r="D82" t="str">
            <v>VENTANILLA</v>
          </cell>
          <cell r="E82" t="str">
            <v>REVISION, LIMPIEZA SISTEMA SUMINISTRO PANEL SOLAR</v>
          </cell>
          <cell r="F82" t="str">
            <v>REVISION DE COMPONENTES, LIMPIEZA DE PANELES SOLARES</v>
          </cell>
          <cell r="G82" t="str">
            <v>LEII0900</v>
          </cell>
          <cell r="H82" t="str">
            <v>NUM</v>
          </cell>
          <cell r="I82">
            <v>1</v>
          </cell>
          <cell r="J82">
            <v>2</v>
          </cell>
          <cell r="K82">
            <v>2</v>
          </cell>
          <cell r="L82">
            <v>4</v>
          </cell>
          <cell r="M82" t="str">
            <v>NO</v>
          </cell>
          <cell r="N82">
            <v>4</v>
          </cell>
          <cell r="O82">
            <v>0</v>
          </cell>
          <cell r="P82">
            <v>0</v>
          </cell>
          <cell r="Q82">
            <v>12</v>
          </cell>
          <cell r="R82">
            <v>0</v>
          </cell>
          <cell r="S82">
            <v>0</v>
          </cell>
          <cell r="T82">
            <v>190.30606894255416</v>
          </cell>
          <cell r="U82"/>
          <cell r="V82">
            <v>0</v>
          </cell>
          <cell r="W82">
            <v>2283.6728273106501</v>
          </cell>
          <cell r="X82">
            <v>0</v>
          </cell>
          <cell r="Y82">
            <v>2283.6728273106501</v>
          </cell>
          <cell r="Z82">
            <v>0</v>
          </cell>
          <cell r="AA82">
            <v>190.30606894255416</v>
          </cell>
          <cell r="AB82">
            <v>23.057832511738386</v>
          </cell>
          <cell r="AC82">
            <v>4</v>
          </cell>
          <cell r="AD82">
            <v>28.366301900447571</v>
          </cell>
          <cell r="AE82">
            <v>45.637578519540007</v>
          </cell>
          <cell r="AF82">
            <v>9.9741126280164671</v>
          </cell>
          <cell r="AG82">
            <v>14.096745847596607</v>
          </cell>
          <cell r="AH82" t="e">
            <v>#N/A</v>
          </cell>
          <cell r="AI82">
            <v>190.30606894255416</v>
          </cell>
          <cell r="AJ82">
            <v>4</v>
          </cell>
          <cell r="AK82">
            <v>47.576517235638541</v>
          </cell>
        </row>
        <row r="83">
          <cell r="A83" t="str">
            <v>P003</v>
          </cell>
          <cell r="B83" t="str">
            <v>PREV</v>
          </cell>
          <cell r="C83" t="str">
            <v>PEOLEII0900MECAL02</v>
          </cell>
          <cell r="D83" t="str">
            <v>SANTA ROSA</v>
          </cell>
          <cell r="E83" t="str">
            <v>MANTTO CALEFACCION TANQUE</v>
          </cell>
          <cell r="F83" t="str">
            <v>REVISIÓN CAJA DE CONEXIONES, CONEXIÓN DE TIERRA, DESCONEXIÓN DE TERMINALES, PRUEBA DE RESISTENCIA DE AISLAMIENTO Y RESISTENCIA DE OHMICA Y RECONEXIÓN. REVISIÓN CUBICULO, LIMPIEZA,  AJUSTE BORNES, REVISIÓN DE CONTACTORES, REVISIÓN Y/O CAMBIO LAMPARAS DE SEÑALIZACIÓN. MEDICIÓN DE PARAMETROS ELÉCTRICOS EN FUNCIONAMIENTO.</v>
          </cell>
          <cell r="G83" t="str">
            <v>LEII0900</v>
          </cell>
          <cell r="H83" t="str">
            <v>NUM</v>
          </cell>
          <cell r="I83">
            <v>1</v>
          </cell>
          <cell r="J83">
            <v>2</v>
          </cell>
          <cell r="K83">
            <v>2</v>
          </cell>
          <cell r="L83">
            <v>4</v>
          </cell>
          <cell r="M83" t="str">
            <v>NO</v>
          </cell>
          <cell r="N83">
            <v>0</v>
          </cell>
          <cell r="O83">
            <v>4</v>
          </cell>
          <cell r="P83">
            <v>0</v>
          </cell>
          <cell r="Q83">
            <v>0</v>
          </cell>
          <cell r="R83">
            <v>12</v>
          </cell>
          <cell r="S83">
            <v>0</v>
          </cell>
          <cell r="T83"/>
          <cell r="U83">
            <v>197.11768866169561</v>
          </cell>
          <cell r="V83">
            <v>0</v>
          </cell>
          <cell r="W83">
            <v>0</v>
          </cell>
          <cell r="X83">
            <v>2365.4122639403472</v>
          </cell>
          <cell r="Y83">
            <v>2365.4122639403472</v>
          </cell>
          <cell r="Z83">
            <v>0</v>
          </cell>
          <cell r="AA83">
            <v>197.11768866169561</v>
          </cell>
          <cell r="AB83">
            <v>23.057832511738386</v>
          </cell>
          <cell r="AC83">
            <v>4</v>
          </cell>
          <cell r="AD83">
            <v>28.432197845427623</v>
          </cell>
          <cell r="AE83">
            <v>51.521734740127236</v>
          </cell>
          <cell r="AF83">
            <v>10.331115757950503</v>
          </cell>
          <cell r="AG83">
            <v>14.601310271236713</v>
          </cell>
          <cell r="AH83" t="str">
            <v>Electricidad</v>
          </cell>
          <cell r="AI83">
            <v>197.11768866169561</v>
          </cell>
          <cell r="AJ83">
            <v>4</v>
          </cell>
          <cell r="AK83">
            <v>49.279422165423902</v>
          </cell>
        </row>
        <row r="84">
          <cell r="A84" t="str">
            <v>P019</v>
          </cell>
          <cell r="B84" t="str">
            <v>PREV</v>
          </cell>
          <cell r="C84" t="str">
            <v>PEOLEII0900MEMOT03</v>
          </cell>
          <cell r="D84" t="str">
            <v>VENTANILLA Y SANTA ROSA</v>
          </cell>
          <cell r="E84" t="str">
            <v>MANTTO MOTOR CC</v>
          </cell>
          <cell r="F84" t="str">
            <v>REVISIÓN CAJA DE CONEXIONES, CONEXIÓN DE TIERRA, DESCONEXIÓN DE TERMINALES, PRUEBA DE RESISTENCIA DE AISLAMIENTO Y RESISTENCIA DE BOBINADOS Y RECONEXIÓN DEL MOTOR. REVISIÓN Y PRUEBAS ELÉCTRICAS RESISTENCIAS DE CALEFACCION. REVISIÓN CUBICULO, LIMPIEZA,  AJUSTE BORNES, REVISIÓN DE CONTACTORES (MANTTO, CAMBIO DE CONTACTOS), REVISIÓN Y/O CAMBIO LAMPARAS DE SEÑALIZACIÓN. MEDICIÓN DE PARAMETROS ELÉCTRICOS EN FUNCIONAMIENTO.</v>
          </cell>
          <cell r="G84" t="str">
            <v>LEII0900</v>
          </cell>
          <cell r="H84" t="str">
            <v>NUM</v>
          </cell>
          <cell r="I84">
            <v>1</v>
          </cell>
          <cell r="J84">
            <v>1.5</v>
          </cell>
          <cell r="K84">
            <v>2</v>
          </cell>
          <cell r="L84">
            <v>3</v>
          </cell>
          <cell r="M84" t="str">
            <v>NO</v>
          </cell>
          <cell r="N84">
            <v>3</v>
          </cell>
          <cell r="O84">
            <v>18</v>
          </cell>
          <cell r="P84">
            <v>0</v>
          </cell>
          <cell r="Q84">
            <v>9</v>
          </cell>
          <cell r="R84">
            <v>54</v>
          </cell>
          <cell r="S84">
            <v>0</v>
          </cell>
          <cell r="T84">
            <v>147.8382664962717</v>
          </cell>
          <cell r="U84">
            <v>147.8382664962717</v>
          </cell>
          <cell r="V84">
            <v>0</v>
          </cell>
          <cell r="W84">
            <v>1330.5443984664453</v>
          </cell>
          <cell r="X84">
            <v>7983.2663907986716</v>
          </cell>
          <cell r="Y84">
            <v>9313.8107892651169</v>
          </cell>
          <cell r="Z84">
            <v>0</v>
          </cell>
          <cell r="AA84">
            <v>147.8382664962717</v>
          </cell>
          <cell r="AB84">
            <v>23.057832511738386</v>
          </cell>
          <cell r="AC84">
            <v>3</v>
          </cell>
          <cell r="AD84">
            <v>21.32414838407071</v>
          </cell>
          <cell r="AE84">
            <v>38.641301055095411</v>
          </cell>
          <cell r="AF84">
            <v>7.7483368184628763</v>
          </cell>
          <cell r="AG84">
            <v>10.950982703427533</v>
          </cell>
          <cell r="AH84" t="str">
            <v>Electricidad</v>
          </cell>
          <cell r="AI84">
            <v>147.8382664962717</v>
          </cell>
          <cell r="AJ84">
            <v>3</v>
          </cell>
          <cell r="AK84">
            <v>49.279422165423902</v>
          </cell>
        </row>
        <row r="85">
          <cell r="A85" t="str">
            <v>P018</v>
          </cell>
          <cell r="B85" t="str">
            <v>PREV</v>
          </cell>
          <cell r="C85" t="str">
            <v>PEOLEII0900MEMOT02</v>
          </cell>
          <cell r="D85" t="str">
            <v>VENTANILLA, SANTA ROSA Y MALACAS</v>
          </cell>
          <cell r="E85" t="str">
            <v>MANTTO MOTOR BT</v>
          </cell>
          <cell r="F85" t="str">
            <v>REVISIÓN CAJA DE CONEXIONES, CONEXIÓN DE TIERRA, DESCONEXIÓN DE TERMINALES, PRUEBA DE RESISTENCIA DE AISLAMIENTO Y RESISTENCIA DE BOBINADO Y RECONEXIÓN DEL MOTOR. REVISIÓN Y PRUEBAS ELÉCTRICAS RESISTENCIAS DE CALEFACCION. REVISIÓN CUBICULO, LIMPIEZA,  AJUSTE BORNES, REVISIÓN DE CONTACTORES (MANTTO, CAMBIO DE CONTACTOS), REVISIÓN Y/O CAMBIO LAMPARAS DE SEÑALIZACIÓN. MEDICIÓN DE PARAMETROS ELÉCTRICOS EN FUNCIONAMIENTO.</v>
          </cell>
          <cell r="G85" t="str">
            <v>LEII0900</v>
          </cell>
          <cell r="H85" t="str">
            <v>NUM</v>
          </cell>
          <cell r="I85">
            <v>1</v>
          </cell>
          <cell r="J85">
            <v>1.5</v>
          </cell>
          <cell r="K85">
            <v>2</v>
          </cell>
          <cell r="L85">
            <v>3</v>
          </cell>
          <cell r="M85" t="str">
            <v>NO</v>
          </cell>
          <cell r="N85">
            <v>100</v>
          </cell>
          <cell r="O85">
            <v>81</v>
          </cell>
          <cell r="P85">
            <v>82</v>
          </cell>
          <cell r="Q85">
            <v>300</v>
          </cell>
          <cell r="R85">
            <v>243</v>
          </cell>
          <cell r="S85">
            <v>246</v>
          </cell>
          <cell r="T85">
            <v>136.86769437028116</v>
          </cell>
          <cell r="U85">
            <v>136.86769437028116</v>
          </cell>
          <cell r="V85">
            <v>136.86769437028116</v>
          </cell>
          <cell r="W85">
            <v>41060.308311084344</v>
          </cell>
          <cell r="X85">
            <v>33258.84973197832</v>
          </cell>
          <cell r="Y85">
            <v>74319.158043062664</v>
          </cell>
          <cell r="Z85">
            <v>33669.452815089164</v>
          </cell>
          <cell r="AA85">
            <v>136.86769437028116</v>
          </cell>
          <cell r="AB85">
            <v>23.057832511738386</v>
          </cell>
          <cell r="AC85">
            <v>3</v>
          </cell>
          <cell r="AD85">
            <v>17.291562209512797</v>
          </cell>
          <cell r="AE85">
            <v>33.090927650695818</v>
          </cell>
          <cell r="AF85">
            <v>7.173359243725427</v>
          </cell>
          <cell r="AG85">
            <v>10.138347731131937</v>
          </cell>
          <cell r="AH85" t="str">
            <v>Electricidad</v>
          </cell>
          <cell r="AI85">
            <v>136.86769437028116</v>
          </cell>
          <cell r="AJ85">
            <v>3</v>
          </cell>
          <cell r="AK85">
            <v>45.622564790093719</v>
          </cell>
        </row>
        <row r="86">
          <cell r="A86" t="str">
            <v>P021</v>
          </cell>
          <cell r="B86" t="str">
            <v>PREV</v>
          </cell>
          <cell r="C86" t="str">
            <v>PEOLEII0900MEMOT09</v>
          </cell>
          <cell r="D86" t="str">
            <v>VENTANILLA, SANTA ROSA Y MALACAS</v>
          </cell>
          <cell r="E86" t="str">
            <v>PRUEBAS ELECTRICAS MOTOR MT (LOCAL)</v>
          </cell>
          <cell r="F86" t="str">
            <v>REVISIÓN CAJA DE CONEXIONES, CONEXIÓN DE TIERRA, DESCONEXIÓN DE TERMINALES, PRUEBA DE RESISTENCIA DE AISLAMIENTO Y RESISTENCIA DE BOBINADO Y RECONEXIÓN DEL MOTOR. REVISIÓN Y PRUEBAS ELÉCTRICAS RESISTENCIAS DE CALEFACCION.</v>
          </cell>
          <cell r="G86" t="str">
            <v>LEII0900</v>
          </cell>
          <cell r="H86" t="str">
            <v>NUM</v>
          </cell>
          <cell r="I86">
            <v>1</v>
          </cell>
          <cell r="J86">
            <v>1.5</v>
          </cell>
          <cell r="K86">
            <v>2</v>
          </cell>
          <cell r="L86">
            <v>3</v>
          </cell>
          <cell r="M86" t="str">
            <v>SI</v>
          </cell>
          <cell r="N86">
            <v>3</v>
          </cell>
          <cell r="O86">
            <v>3</v>
          </cell>
          <cell r="P86">
            <v>9</v>
          </cell>
          <cell r="Q86">
            <v>9</v>
          </cell>
          <cell r="R86">
            <v>9</v>
          </cell>
          <cell r="S86">
            <v>27</v>
          </cell>
          <cell r="T86">
            <v>147.7824854661817</v>
          </cell>
          <cell r="U86">
            <v>147.7824854661817</v>
          </cell>
          <cell r="V86">
            <v>147.7824854661817</v>
          </cell>
          <cell r="W86">
            <v>1330.0423691956353</v>
          </cell>
          <cell r="X86">
            <v>1330.0423691956353</v>
          </cell>
          <cell r="Y86">
            <v>2660.0847383912705</v>
          </cell>
          <cell r="Z86">
            <v>3990.1271075869058</v>
          </cell>
          <cell r="AA86">
            <v>147.7824854661817</v>
          </cell>
          <cell r="AB86">
            <v>23.057832511738386</v>
          </cell>
          <cell r="AC86">
            <v>3</v>
          </cell>
          <cell r="AD86">
            <v>21.306821219029271</v>
          </cell>
          <cell r="AE86">
            <v>38.609902652273483</v>
          </cell>
          <cell r="AF86">
            <v>7.7454132843910743</v>
          </cell>
          <cell r="AG86">
            <v>10.94685077527272</v>
          </cell>
          <cell r="AH86" t="str">
            <v>Electricidad</v>
          </cell>
          <cell r="AI86">
            <v>147.7824854661817</v>
          </cell>
          <cell r="AJ86">
            <v>3</v>
          </cell>
          <cell r="AK86">
            <v>49.260828488727235</v>
          </cell>
        </row>
        <row r="87">
          <cell r="A87" t="str">
            <v>P020</v>
          </cell>
          <cell r="B87" t="str">
            <v>PREV</v>
          </cell>
          <cell r="C87" t="str">
            <v>PEOLEII0900MEMOT05</v>
          </cell>
          <cell r="D87" t="str">
            <v>VENTANILLA Y SANTA ROSA</v>
          </cell>
          <cell r="E87" t="str">
            <v>MANTTO MOTOR VENT TRAFO</v>
          </cell>
          <cell r="F87" t="str">
            <v>REVISIÓN CAJA DE CONEXIONES, CONEXIÓN DE TIERRA, DESCONEXIÓN DE TERMINALES, PRUEBA DE RESISTENCIA DE AISLAMIENTO Y RESISTENCIA DE BOBINADO Y RECONEXIÓN DEL MOTOR. MEDICIÓN DE PARAMETROS ELÉCTRICOS EN FUNCIONAMIENTO.</v>
          </cell>
          <cell r="G87" t="str">
            <v>LEII0900</v>
          </cell>
          <cell r="H87" t="str">
            <v>NUM</v>
          </cell>
          <cell r="I87">
            <v>1</v>
          </cell>
          <cell r="J87">
            <v>1</v>
          </cell>
          <cell r="K87">
            <v>2</v>
          </cell>
          <cell r="L87">
            <v>2</v>
          </cell>
          <cell r="M87" t="str">
            <v>NO</v>
          </cell>
          <cell r="N87">
            <v>9</v>
          </cell>
          <cell r="O87">
            <v>4</v>
          </cell>
          <cell r="P87">
            <v>0</v>
          </cell>
          <cell r="Q87">
            <v>27</v>
          </cell>
          <cell r="R87">
            <v>12</v>
          </cell>
          <cell r="S87">
            <v>0</v>
          </cell>
          <cell r="T87">
            <v>98.558844330847748</v>
          </cell>
          <cell r="U87">
            <v>98.558844330847748</v>
          </cell>
          <cell r="V87">
            <v>0</v>
          </cell>
          <cell r="W87">
            <v>2661.0887969328892</v>
          </cell>
          <cell r="X87">
            <v>1182.7061319701729</v>
          </cell>
          <cell r="Y87">
            <v>3843.7949289030621</v>
          </cell>
          <cell r="Z87">
            <v>0</v>
          </cell>
          <cell r="AA87">
            <v>98.558844330847748</v>
          </cell>
          <cell r="AB87">
            <v>23.057832511738386</v>
          </cell>
          <cell r="AC87">
            <v>2</v>
          </cell>
          <cell r="AD87">
            <v>14.216098922713789</v>
          </cell>
          <cell r="AE87">
            <v>25.760867370063572</v>
          </cell>
          <cell r="AF87">
            <v>5.1655578789752488</v>
          </cell>
          <cell r="AG87">
            <v>7.3006551356183511</v>
          </cell>
          <cell r="AH87" t="str">
            <v>Electricidad</v>
          </cell>
          <cell r="AI87">
            <v>98.558844330847748</v>
          </cell>
          <cell r="AJ87">
            <v>2</v>
          </cell>
          <cell r="AK87">
            <v>49.279422165423874</v>
          </cell>
        </row>
        <row r="88">
          <cell r="A88" t="str">
            <v>P010</v>
          </cell>
          <cell r="B88" t="str">
            <v>PREV</v>
          </cell>
          <cell r="C88" t="str">
            <v>PEOLEII0900MEGEN01</v>
          </cell>
          <cell r="D88" t="str">
            <v>VENTANILLA Y SANTA ROSA</v>
          </cell>
          <cell r="E88" t="str">
            <v>REVISION ALTERNADOR</v>
          </cell>
          <cell r="F88" t="str">
            <v>RETIRO Y COLOCACIÓN DE TAPAS DE INSPECCIÓN, REVISION Y LIMPIEZA BOBINAS, BORNES, PASATAPAS, CARCASA Y COMPONENTES. MEDIDA DE DESPLAZAMIENTO DE POLOS, REVISION SISTEMA DE ENFRIAMIENTO. REVISIÓN Y LIMPIEZA DE COLECTOR Y PORTAESCOBILLAS. PRUEBAS ELÉCTRICAS DEL SISTEMA DE CALEFACCION/DESHUMEDECEDOR DE ALTERNADOR Y COLECTOR. REVISIÓN, MANTTO CUBICULO RESISTENCIA NEUTRO, PRUEBAS ELÉCTRICAS RESISTENCIA NEUTRO A TIERRA.</v>
          </cell>
          <cell r="G88" t="str">
            <v>LEII0900</v>
          </cell>
          <cell r="H88" t="str">
            <v>NUM</v>
          </cell>
          <cell r="I88">
            <v>1</v>
          </cell>
          <cell r="J88">
            <v>10</v>
          </cell>
          <cell r="K88">
            <v>4</v>
          </cell>
          <cell r="L88">
            <v>40</v>
          </cell>
          <cell r="M88" t="str">
            <v>SI</v>
          </cell>
          <cell r="N88">
            <v>6</v>
          </cell>
          <cell r="O88">
            <v>4</v>
          </cell>
          <cell r="P88">
            <v>0</v>
          </cell>
          <cell r="Q88">
            <v>18</v>
          </cell>
          <cell r="R88">
            <v>12</v>
          </cell>
          <cell r="S88">
            <v>0</v>
          </cell>
          <cell r="T88">
            <v>1879.7878565011035</v>
          </cell>
          <cell r="U88">
            <v>1879.7878565011035</v>
          </cell>
          <cell r="V88">
            <v>0</v>
          </cell>
          <cell r="W88">
            <v>33836.181417019863</v>
          </cell>
          <cell r="X88">
            <v>22557.454278013243</v>
          </cell>
          <cell r="Y88">
            <v>56393.63569503311</v>
          </cell>
          <cell r="Z88">
            <v>0</v>
          </cell>
          <cell r="AA88">
            <v>1879.7878565011035</v>
          </cell>
          <cell r="AB88">
            <v>21.114685499132875</v>
          </cell>
          <cell r="AC88">
            <v>40</v>
          </cell>
          <cell r="AD88">
            <v>283.5738482396589</v>
          </cell>
          <cell r="AE88">
            <v>513.8616672432297</v>
          </cell>
          <cell r="AF88">
            <v>98.521376126892221</v>
          </cell>
          <cell r="AG88">
            <v>139.24354492600767</v>
          </cell>
          <cell r="AH88" t="str">
            <v>Electricidad</v>
          </cell>
          <cell r="AI88">
            <v>1879.7878565011035</v>
          </cell>
          <cell r="AJ88">
            <v>40</v>
          </cell>
          <cell r="AK88">
            <v>46.994696412527588</v>
          </cell>
        </row>
        <row r="89">
          <cell r="A89" t="str">
            <v>C361</v>
          </cell>
          <cell r="B89" t="str">
            <v>COND</v>
          </cell>
          <cell r="C89" t="str">
            <v>PEOLEII09MEREEMP10</v>
          </cell>
          <cell r="D89" t="str">
            <v>VENTANILLA</v>
          </cell>
          <cell r="E89" t="str">
            <v>REEMPLAZO DE FUENTES 220/48 VCC ó VENTILADORES</v>
          </cell>
          <cell r="F89" t="str">
            <v>RETIRO E INSTALACION DE FUENTE  / VENT. NUEVOS</v>
          </cell>
          <cell r="G89" t="str">
            <v>LEII0900</v>
          </cell>
          <cell r="H89" t="str">
            <v>NUM</v>
          </cell>
          <cell r="I89">
            <v>1</v>
          </cell>
          <cell r="J89">
            <v>2.5</v>
          </cell>
          <cell r="K89">
            <v>2</v>
          </cell>
          <cell r="L89">
            <v>5</v>
          </cell>
          <cell r="M89" t="str">
            <v>NO</v>
          </cell>
          <cell r="N89">
            <v>20</v>
          </cell>
          <cell r="O89">
            <v>0</v>
          </cell>
          <cell r="P89">
            <v>0</v>
          </cell>
          <cell r="Q89">
            <v>60</v>
          </cell>
          <cell r="R89">
            <v>0</v>
          </cell>
          <cell r="S89">
            <v>0</v>
          </cell>
          <cell r="T89">
            <v>190.30606894255394</v>
          </cell>
          <cell r="U89"/>
          <cell r="V89">
            <v>0</v>
          </cell>
          <cell r="W89">
            <v>11418.364136553237</v>
          </cell>
          <cell r="X89">
            <v>0</v>
          </cell>
          <cell r="Y89">
            <v>11418.364136553237</v>
          </cell>
          <cell r="Z89">
            <v>0</v>
          </cell>
          <cell r="AA89">
            <v>190.30606894255394</v>
          </cell>
          <cell r="AB89">
            <v>23.057832511738386</v>
          </cell>
          <cell r="AC89">
            <v>4</v>
          </cell>
          <cell r="AD89">
            <v>28.366301900447482</v>
          </cell>
          <cell r="AE89">
            <v>45.637578519539865</v>
          </cell>
          <cell r="AF89">
            <v>9.9741126280164529</v>
          </cell>
          <cell r="AG89">
            <v>14.096745847596587</v>
          </cell>
          <cell r="AH89" t="e">
            <v>#N/A</v>
          </cell>
          <cell r="AI89">
            <v>190.30606894255394</v>
          </cell>
          <cell r="AJ89">
            <v>5</v>
          </cell>
          <cell r="AK89">
            <v>38.061213788510784</v>
          </cell>
        </row>
        <row r="90">
          <cell r="A90" t="str">
            <v>P099</v>
          </cell>
          <cell r="B90" t="str">
            <v>PREV</v>
          </cell>
          <cell r="C90" t="str">
            <v>PEOLEII09MEREEMP02</v>
          </cell>
          <cell r="D90" t="str">
            <v>VENTANILLA</v>
          </cell>
          <cell r="E90" t="str">
            <v>CAMBIO DE FILTROS SALA INVERSORES BESS</v>
          </cell>
          <cell r="F90" t="str">
            <v>RETIRO E INSTALACION DE FILTROS DE SALA DE INVERSORES BESS</v>
          </cell>
          <cell r="G90" t="str">
            <v>LEII0900</v>
          </cell>
          <cell r="H90" t="str">
            <v>NUM</v>
          </cell>
          <cell r="I90">
            <v>1</v>
          </cell>
          <cell r="J90">
            <v>1</v>
          </cell>
          <cell r="K90">
            <v>2</v>
          </cell>
          <cell r="L90">
            <v>2</v>
          </cell>
          <cell r="M90" t="str">
            <v>NO</v>
          </cell>
          <cell r="N90">
            <v>32</v>
          </cell>
          <cell r="O90">
            <v>0</v>
          </cell>
          <cell r="P90">
            <v>0</v>
          </cell>
          <cell r="Q90">
            <v>96</v>
          </cell>
          <cell r="R90">
            <v>0</v>
          </cell>
          <cell r="S90">
            <v>0</v>
          </cell>
          <cell r="T90">
            <v>95.153034471277081</v>
          </cell>
          <cell r="U90"/>
          <cell r="V90">
            <v>0</v>
          </cell>
          <cell r="W90">
            <v>9134.6913092426003</v>
          </cell>
          <cell r="X90">
            <v>0</v>
          </cell>
          <cell r="Y90">
            <v>9134.6913092426003</v>
          </cell>
          <cell r="Z90">
            <v>0</v>
          </cell>
          <cell r="AA90">
            <v>95.153034471277081</v>
          </cell>
          <cell r="AB90">
            <v>23.057832511738386</v>
          </cell>
          <cell r="AC90">
            <v>2</v>
          </cell>
          <cell r="AD90">
            <v>14.183150950223785</v>
          </cell>
          <cell r="AE90">
            <v>22.818789259770003</v>
          </cell>
          <cell r="AF90">
            <v>4.9870563140082336</v>
          </cell>
          <cell r="AG90">
            <v>7.0483729237983033</v>
          </cell>
          <cell r="AH90" t="str">
            <v>Electricidad</v>
          </cell>
          <cell r="AI90">
            <v>95.153034471277081</v>
          </cell>
          <cell r="AJ90">
            <v>2</v>
          </cell>
          <cell r="AK90">
            <v>47.576517235638541</v>
          </cell>
        </row>
        <row r="91">
          <cell r="A91" t="str">
            <v>P100</v>
          </cell>
          <cell r="B91" t="str">
            <v>PREV</v>
          </cell>
          <cell r="C91" t="str">
            <v>PEOLEII09MEREEMP03</v>
          </cell>
          <cell r="D91" t="str">
            <v>VENTANILLA</v>
          </cell>
          <cell r="E91" t="str">
            <v>CAMBIO DE FILTROS PUERTA SALA TRANSFORMADORES BESS</v>
          </cell>
          <cell r="F91" t="str">
            <v>RETIRO E INSTALACION DE FILTROS DE PUERTA SALA TRANSFORMADORES BESS</v>
          </cell>
          <cell r="G91" t="str">
            <v>LEII0900</v>
          </cell>
          <cell r="H91" t="str">
            <v>NUM</v>
          </cell>
          <cell r="I91">
            <v>1</v>
          </cell>
          <cell r="J91">
            <v>2.5</v>
          </cell>
          <cell r="K91">
            <v>2</v>
          </cell>
          <cell r="L91">
            <v>5</v>
          </cell>
          <cell r="M91" t="str">
            <v>NO</v>
          </cell>
          <cell r="N91">
            <v>32</v>
          </cell>
          <cell r="O91">
            <v>0</v>
          </cell>
          <cell r="P91">
            <v>0</v>
          </cell>
          <cell r="Q91">
            <v>96</v>
          </cell>
          <cell r="R91">
            <v>0</v>
          </cell>
          <cell r="S91">
            <v>0</v>
          </cell>
          <cell r="T91">
            <v>190.30606894255394</v>
          </cell>
          <cell r="U91"/>
          <cell r="V91">
            <v>0</v>
          </cell>
          <cell r="W91">
            <v>18269.382618485179</v>
          </cell>
          <cell r="X91">
            <v>0</v>
          </cell>
          <cell r="Y91">
            <v>18269.382618485179</v>
          </cell>
          <cell r="Z91">
            <v>0</v>
          </cell>
          <cell r="AA91">
            <v>190.30606894255394</v>
          </cell>
          <cell r="AB91">
            <v>23.057832511738386</v>
          </cell>
          <cell r="AC91">
            <v>4</v>
          </cell>
          <cell r="AD91">
            <v>28.366301900447482</v>
          </cell>
          <cell r="AE91">
            <v>45.637578519539865</v>
          </cell>
          <cell r="AF91">
            <v>9.9741126280164529</v>
          </cell>
          <cell r="AG91">
            <v>14.096745847596587</v>
          </cell>
          <cell r="AH91" t="str">
            <v>Electricidad</v>
          </cell>
          <cell r="AI91">
            <v>190.30606894255394</v>
          </cell>
          <cell r="AJ91">
            <v>5</v>
          </cell>
          <cell r="AK91">
            <v>38.061213788510784</v>
          </cell>
        </row>
        <row r="92">
          <cell r="A92" t="str">
            <v>P097</v>
          </cell>
          <cell r="B92" t="str">
            <v>PREV</v>
          </cell>
          <cell r="C92" t="str">
            <v>PEOLEII09MEREEMP01</v>
          </cell>
          <cell r="D92" t="str">
            <v>VENTANILLA Y MALACAS</v>
          </cell>
          <cell r="E92" t="str">
            <v>CAMBIO DE FILTROS DE ONDULADOR - INVERSOR</v>
          </cell>
          <cell r="F92" t="str">
            <v>RETIRO E INSTALACION DE FILTROS DE ONDULADOR - INVERSOR</v>
          </cell>
          <cell r="G92" t="str">
            <v>LEII0900</v>
          </cell>
          <cell r="H92" t="str">
            <v>NUM</v>
          </cell>
          <cell r="I92">
            <v>1</v>
          </cell>
          <cell r="J92">
            <v>1</v>
          </cell>
          <cell r="K92">
            <v>2</v>
          </cell>
          <cell r="L92">
            <v>2</v>
          </cell>
          <cell r="M92" t="str">
            <v>NO</v>
          </cell>
          <cell r="N92">
            <v>4</v>
          </cell>
          <cell r="O92">
            <v>0</v>
          </cell>
          <cell r="P92">
            <v>1</v>
          </cell>
          <cell r="Q92">
            <v>12</v>
          </cell>
          <cell r="R92">
            <v>0</v>
          </cell>
          <cell r="S92">
            <v>3</v>
          </cell>
          <cell r="T92">
            <v>96.224337159304767</v>
          </cell>
          <cell r="U92"/>
          <cell r="V92">
            <v>96.224337159304767</v>
          </cell>
          <cell r="W92">
            <v>1154.6920459116573</v>
          </cell>
          <cell r="X92">
            <v>0</v>
          </cell>
          <cell r="Y92">
            <v>1154.6920459116573</v>
          </cell>
          <cell r="Z92">
            <v>288.67301147791432</v>
          </cell>
          <cell r="AA92">
            <v>96.224337159304767</v>
          </cell>
          <cell r="AB92">
            <v>23.057832511738386</v>
          </cell>
          <cell r="AC92">
            <v>2</v>
          </cell>
          <cell r="AD92">
            <v>14.541850475488797</v>
          </cell>
          <cell r="AE92">
            <v>23.395888728239857</v>
          </cell>
          <cell r="AF92">
            <v>5.0432042536323252</v>
          </cell>
          <cell r="AG92">
            <v>7.1277286784670197</v>
          </cell>
          <cell r="AH92" t="str">
            <v>Electricidad</v>
          </cell>
          <cell r="AI92">
            <v>96.224337159304767</v>
          </cell>
          <cell r="AJ92">
            <v>2</v>
          </cell>
          <cell r="AK92">
            <v>48.112168579652383</v>
          </cell>
        </row>
        <row r="93">
          <cell r="A93" t="str">
            <v>P101</v>
          </cell>
          <cell r="B93" t="str">
            <v>PREV</v>
          </cell>
          <cell r="C93" t="str">
            <v>PEOLEII09MEREEMP04</v>
          </cell>
          <cell r="D93" t="str">
            <v>VENTANILLA</v>
          </cell>
          <cell r="E93" t="str">
            <v>CAMBIO DE FILTROS EXTRACTORES SALA TRANSFORMADORES BESS</v>
          </cell>
          <cell r="F93" t="str">
            <v>RETIRO E INSTALACION DE FILTROS DE EXTRACT. SALA TRANSFORMADOR BESS</v>
          </cell>
          <cell r="G93" t="str">
            <v>LEII0900</v>
          </cell>
          <cell r="H93" t="str">
            <v>NUM</v>
          </cell>
          <cell r="I93">
            <v>1</v>
          </cell>
          <cell r="J93">
            <v>1.5</v>
          </cell>
          <cell r="K93">
            <v>2</v>
          </cell>
          <cell r="L93">
            <v>3</v>
          </cell>
          <cell r="M93" t="str">
            <v>NO</v>
          </cell>
          <cell r="N93">
            <v>32</v>
          </cell>
          <cell r="O93">
            <v>0</v>
          </cell>
          <cell r="P93">
            <v>0</v>
          </cell>
          <cell r="Q93">
            <v>96</v>
          </cell>
          <cell r="R93">
            <v>0</v>
          </cell>
          <cell r="S93">
            <v>0</v>
          </cell>
          <cell r="T93">
            <v>142.7295517069154</v>
          </cell>
          <cell r="U93"/>
          <cell r="V93">
            <v>0</v>
          </cell>
          <cell r="W93">
            <v>13702.036963863879</v>
          </cell>
          <cell r="X93">
            <v>0</v>
          </cell>
          <cell r="Y93">
            <v>13702.036963863879</v>
          </cell>
          <cell r="Z93">
            <v>0</v>
          </cell>
          <cell r="AA93">
            <v>142.7295517069154</v>
          </cell>
          <cell r="AB93">
            <v>23.057832511738386</v>
          </cell>
          <cell r="AC93">
            <v>3</v>
          </cell>
          <cell r="AD93">
            <v>21.27472642533559</v>
          </cell>
          <cell r="AE93">
            <v>34.228183889654865</v>
          </cell>
          <cell r="AF93">
            <v>7.4805844710123361</v>
          </cell>
          <cell r="AG93">
            <v>10.572559385697437</v>
          </cell>
          <cell r="AH93" t="str">
            <v>Electricidad</v>
          </cell>
          <cell r="AI93">
            <v>142.7295517069154</v>
          </cell>
          <cell r="AJ93">
            <v>3</v>
          </cell>
          <cell r="AK93">
            <v>47.57651723563847</v>
          </cell>
        </row>
        <row r="94">
          <cell r="A94" t="str">
            <v>C341</v>
          </cell>
          <cell r="B94" t="str">
            <v>COND</v>
          </cell>
          <cell r="C94" t="str">
            <v>PEOLEII09MEMONIT02</v>
          </cell>
          <cell r="D94" t="str">
            <v>VENTANILLA Y MALACAS</v>
          </cell>
          <cell r="E94" t="str">
            <v>FACILIDADES ELECTRICAS MONITOREO MEDIO AMBIENTAL</v>
          </cell>
          <cell r="F94" t="str">
            <v>RETIRO E INSTALACION DE EXTENSIONES, INCLUYE TENDIDO HASTA LA PARTE ALTA DE LA CHIMENEA</v>
          </cell>
          <cell r="G94" t="str">
            <v>LEII0900</v>
          </cell>
          <cell r="H94" t="str">
            <v>NUM</v>
          </cell>
          <cell r="I94">
            <v>1</v>
          </cell>
          <cell r="J94">
            <v>2.5</v>
          </cell>
          <cell r="K94">
            <v>2</v>
          </cell>
          <cell r="L94">
            <v>5</v>
          </cell>
          <cell r="M94" t="str">
            <v>NO</v>
          </cell>
          <cell r="N94">
            <v>12</v>
          </cell>
          <cell r="O94">
            <v>0</v>
          </cell>
          <cell r="P94">
            <v>5</v>
          </cell>
          <cell r="Q94">
            <v>36</v>
          </cell>
          <cell r="R94">
            <v>0</v>
          </cell>
          <cell r="S94">
            <v>15</v>
          </cell>
          <cell r="T94">
            <v>251.6918035244461</v>
          </cell>
          <cell r="U94"/>
          <cell r="V94">
            <v>251.6918035244461</v>
          </cell>
          <cell r="W94">
            <v>9060.9049268800591</v>
          </cell>
          <cell r="X94">
            <v>0</v>
          </cell>
          <cell r="Y94">
            <v>9060.9049268800591</v>
          </cell>
          <cell r="Z94">
            <v>3775.3770528666914</v>
          </cell>
          <cell r="AA94">
            <v>251.6918035244461</v>
          </cell>
          <cell r="AB94">
            <v>23.057832511738386</v>
          </cell>
          <cell r="AC94">
            <v>5</v>
          </cell>
          <cell r="AD94">
            <v>35.888140283081569</v>
          </cell>
          <cell r="AE94">
            <v>68.679269069867047</v>
          </cell>
          <cell r="AF94">
            <v>13.191394314698432</v>
          </cell>
          <cell r="AG94">
            <v>18.643837298107119</v>
          </cell>
          <cell r="AH94" t="e">
            <v>#N/A</v>
          </cell>
          <cell r="AI94">
            <v>251.6918035244461</v>
          </cell>
          <cell r="AJ94">
            <v>5</v>
          </cell>
          <cell r="AK94">
            <v>50.338360704889219</v>
          </cell>
        </row>
        <row r="95">
          <cell r="A95" t="str">
            <v>P017</v>
          </cell>
          <cell r="B95" t="str">
            <v>PREV</v>
          </cell>
          <cell r="C95" t="str">
            <v>PEOLEII0900MEMOT01</v>
          </cell>
          <cell r="D95" t="str">
            <v>VENTANILLA Y SANTA ROSA</v>
          </cell>
          <cell r="E95" t="str">
            <v>MANTTO MOTOR MT</v>
          </cell>
          <cell r="F95" t="str">
            <v>RETIRO DE TAPAS, REVISIÓN Y LIMPIEZA DE NUCLEO, BOBINADO Y COMPONENTES, CAMBO DE FILTROS DE AIRE, MONTAJE DE TAPAS.</v>
          </cell>
          <cell r="G95" t="str">
            <v>LEII0900</v>
          </cell>
          <cell r="H95" t="str">
            <v>NUM</v>
          </cell>
          <cell r="I95">
            <v>2</v>
          </cell>
          <cell r="J95">
            <v>4</v>
          </cell>
          <cell r="K95">
            <v>4</v>
          </cell>
          <cell r="L95">
            <v>32</v>
          </cell>
          <cell r="M95" t="str">
            <v>SI</v>
          </cell>
          <cell r="N95">
            <v>4</v>
          </cell>
          <cell r="O95">
            <v>1</v>
          </cell>
          <cell r="P95">
            <v>0</v>
          </cell>
          <cell r="Q95">
            <v>12</v>
          </cell>
          <cell r="R95">
            <v>3</v>
          </cell>
          <cell r="S95">
            <v>0</v>
          </cell>
          <cell r="T95">
            <v>1473.4264660100976</v>
          </cell>
          <cell r="U95">
            <v>1473.4264660100976</v>
          </cell>
          <cell r="V95">
            <v>0</v>
          </cell>
          <cell r="W95">
            <v>17681.117592121169</v>
          </cell>
          <cell r="X95">
            <v>4420.2793980302922</v>
          </cell>
          <cell r="Y95">
            <v>22101.396990151461</v>
          </cell>
          <cell r="Z95">
            <v>0</v>
          </cell>
          <cell r="AA95">
            <v>1473.4264660100976</v>
          </cell>
          <cell r="AB95">
            <v>20.306614082390109</v>
          </cell>
          <cell r="AC95">
            <v>32</v>
          </cell>
          <cell r="AD95">
            <v>226.61018640250518</v>
          </cell>
          <cell r="AE95">
            <v>410.63831845550595</v>
          </cell>
          <cell r="AF95">
            <v>77.223609329669671</v>
          </cell>
          <cell r="AG95">
            <v>109.14270118593315</v>
          </cell>
          <cell r="AH95" t="str">
            <v>Electricidad</v>
          </cell>
          <cell r="AI95">
            <v>1473.4264660100976</v>
          </cell>
          <cell r="AJ95">
            <v>32</v>
          </cell>
          <cell r="AK95">
            <v>46.044577062815549</v>
          </cell>
        </row>
        <row r="96">
          <cell r="A96" t="str">
            <v>P027</v>
          </cell>
          <cell r="B96" t="str">
            <v>PREV</v>
          </cell>
          <cell r="C96" t="str">
            <v>PEOLEII0900METAB03</v>
          </cell>
          <cell r="D96" t="str">
            <v>VENTANILLA Y MALACAS</v>
          </cell>
          <cell r="E96" t="str">
            <v>MANTTO TABLERO CCM BT</v>
          </cell>
          <cell r="F96" t="str">
            <v>RETIRO DE TAPAS, LIMPIEZA EXTERNA E INTERNA, AJUSTE DE TERMINALES, REVISIÓN EMBARRADO, CALEFACCIONES, VENTILACION, FILTRO, CONEX. A TIERRA, COMPONENTES, INSTALACION DE TAPAS, TRIP MANUAL DE INTERRUPTORES PRINCIPALES.</v>
          </cell>
          <cell r="G96" t="str">
            <v>LEII0900</v>
          </cell>
          <cell r="H96" t="str">
            <v>NUM</v>
          </cell>
          <cell r="I96">
            <v>1</v>
          </cell>
          <cell r="J96">
            <v>4</v>
          </cell>
          <cell r="K96">
            <v>3</v>
          </cell>
          <cell r="L96">
            <v>12</v>
          </cell>
          <cell r="M96" t="str">
            <v>SI</v>
          </cell>
          <cell r="N96">
            <v>10</v>
          </cell>
          <cell r="O96">
            <v>0</v>
          </cell>
          <cell r="P96">
            <v>6</v>
          </cell>
          <cell r="Q96">
            <v>30</v>
          </cell>
          <cell r="R96">
            <v>0</v>
          </cell>
          <cell r="S96">
            <v>18</v>
          </cell>
          <cell r="T96">
            <v>584.60925577496482</v>
          </cell>
          <cell r="U96"/>
          <cell r="V96">
            <v>584.60925577496482</v>
          </cell>
          <cell r="W96">
            <v>17538.277673248944</v>
          </cell>
          <cell r="X96">
            <v>0</v>
          </cell>
          <cell r="Y96">
            <v>17538.277673248944</v>
          </cell>
          <cell r="Z96">
            <v>10522.966603949368</v>
          </cell>
          <cell r="AA96">
            <v>584.60925577496482</v>
          </cell>
          <cell r="AB96">
            <v>22.522865491628611</v>
          </cell>
          <cell r="AC96">
            <v>12</v>
          </cell>
          <cell r="AD96">
            <v>85.484633207893424</v>
          </cell>
          <cell r="AE96">
            <v>154.90594924945083</v>
          </cell>
          <cell r="AF96">
            <v>30.639898101413255</v>
          </cell>
          <cell r="AG96">
            <v>43.304389316664064</v>
          </cell>
          <cell r="AH96" t="str">
            <v>Electricidad</v>
          </cell>
          <cell r="AI96">
            <v>584.60925577496482</v>
          </cell>
          <cell r="AJ96">
            <v>12</v>
          </cell>
          <cell r="AK96">
            <v>48.717437981247066</v>
          </cell>
        </row>
        <row r="97">
          <cell r="A97" t="str">
            <v>C068</v>
          </cell>
          <cell r="B97" t="str">
            <v>COND</v>
          </cell>
          <cell r="C97" t="str">
            <v>WWOLEII09080501200</v>
          </cell>
          <cell r="D97" t="str">
            <v>VENTANILLA, SANTA ROSA Y MALACAS</v>
          </cell>
          <cell r="E97" t="str">
            <v>REMOVER ILUMINACIÓN AUXILIAR TEMPORANEA</v>
          </cell>
          <cell r="F97" t="str">
            <v>RETIRO DE LUMINARIA AUXILIAR TEMPORAL Y ENTREGA A ENEL DE TODOS LOS MATERIALES DESMONTADOS PARA REUTILIZO.</v>
          </cell>
          <cell r="G97" t="str">
            <v>LEII0900</v>
          </cell>
          <cell r="H97" t="str">
            <v>NUM</v>
          </cell>
          <cell r="I97">
            <v>1</v>
          </cell>
          <cell r="J97">
            <v>1</v>
          </cell>
          <cell r="K97">
            <v>2</v>
          </cell>
          <cell r="L97">
            <v>2</v>
          </cell>
          <cell r="M97" t="str">
            <v>NO</v>
          </cell>
          <cell r="N97">
            <v>4</v>
          </cell>
          <cell r="O97">
            <v>3</v>
          </cell>
          <cell r="P97">
            <v>3</v>
          </cell>
          <cell r="Q97">
            <v>12</v>
          </cell>
          <cell r="R97">
            <v>9</v>
          </cell>
          <cell r="S97">
            <v>9</v>
          </cell>
          <cell r="T97">
            <v>96.224337159304724</v>
          </cell>
          <cell r="U97">
            <v>96.224337159304724</v>
          </cell>
          <cell r="V97">
            <v>96.224337159304724</v>
          </cell>
          <cell r="W97">
            <v>1154.6920459116568</v>
          </cell>
          <cell r="X97">
            <v>866.01903443374249</v>
          </cell>
          <cell r="Y97">
            <v>2020.7110803453993</v>
          </cell>
          <cell r="Z97">
            <v>866.01903443374249</v>
          </cell>
          <cell r="AA97">
            <v>96.224337159304724</v>
          </cell>
          <cell r="AB97">
            <v>23.057832511738386</v>
          </cell>
          <cell r="AC97">
            <v>2</v>
          </cell>
          <cell r="AD97">
            <v>14.541850475488777</v>
          </cell>
          <cell r="AE97">
            <v>23.395888728239825</v>
          </cell>
          <cell r="AF97">
            <v>5.0432042536323225</v>
          </cell>
          <cell r="AG97">
            <v>7.1277286784670162</v>
          </cell>
          <cell r="AH97" t="str">
            <v>Electricidad</v>
          </cell>
          <cell r="AI97">
            <v>96.224337159304724</v>
          </cell>
          <cell r="AJ97">
            <v>2</v>
          </cell>
          <cell r="AK97">
            <v>48.112168579652362</v>
          </cell>
        </row>
        <row r="98">
          <cell r="A98" t="str">
            <v>C353</v>
          </cell>
          <cell r="B98" t="str">
            <v>COND</v>
          </cell>
          <cell r="C98" t="str">
            <v>PEOLEII09MEDESC002</v>
          </cell>
          <cell r="D98" t="str">
            <v>VENTANILLA Y MALACAS</v>
          </cell>
          <cell r="E98" t="str">
            <v>DESCONEXION Y RECONEXION TRAFOS MT</v>
          </cell>
          <cell r="F98" t="str">
            <v>RETIRO DE AISLAMIENTOS, DESCONEXION, RECONEXION E INSTALACION DE AISLAMIENTOS EN AISLADORES</v>
          </cell>
          <cell r="G98" t="str">
            <v>LEII0900</v>
          </cell>
          <cell r="H98" t="str">
            <v>NUM</v>
          </cell>
          <cell r="I98">
            <v>2</v>
          </cell>
          <cell r="J98">
            <v>3</v>
          </cell>
          <cell r="K98">
            <v>3</v>
          </cell>
          <cell r="L98">
            <v>18</v>
          </cell>
          <cell r="M98" t="str">
            <v>NO</v>
          </cell>
          <cell r="N98">
            <v>6</v>
          </cell>
          <cell r="O98">
            <v>0</v>
          </cell>
          <cell r="P98">
            <v>2</v>
          </cell>
          <cell r="Q98">
            <v>18</v>
          </cell>
          <cell r="R98">
            <v>0</v>
          </cell>
          <cell r="S98">
            <v>6</v>
          </cell>
          <cell r="T98">
            <v>899.47647133241242</v>
          </cell>
          <cell r="U98"/>
          <cell r="V98">
            <v>899.47647133241242</v>
          </cell>
          <cell r="W98">
            <v>16190.576483983423</v>
          </cell>
          <cell r="X98">
            <v>0</v>
          </cell>
          <cell r="Y98">
            <v>16190.576483983423</v>
          </cell>
          <cell r="Z98">
            <v>5396.8588279944743</v>
          </cell>
          <cell r="AA98">
            <v>899.47647133241242</v>
          </cell>
          <cell r="AB98">
            <v>24.116438023744291</v>
          </cell>
          <cell r="AC98">
            <v>18</v>
          </cell>
          <cell r="AD98">
            <v>125.03518051773</v>
          </cell>
          <cell r="AE98">
            <v>226.57514691057892</v>
          </cell>
          <cell r="AF98">
            <v>47.142372711342368</v>
          </cell>
          <cell r="AG98">
            <v>66.627886765363883</v>
          </cell>
          <cell r="AH98" t="e">
            <v>#N/A</v>
          </cell>
          <cell r="AI98">
            <v>899.47647133241242</v>
          </cell>
          <cell r="AJ98">
            <v>18</v>
          </cell>
          <cell r="AK98">
            <v>49.970915074022912</v>
          </cell>
        </row>
        <row r="99">
          <cell r="A99" t="str">
            <v>P115</v>
          </cell>
          <cell r="B99" t="str">
            <v>PREV</v>
          </cell>
          <cell r="C99" t="str">
            <v>PEOMMIM01MMMTBBA01</v>
          </cell>
          <cell r="D99" t="str">
            <v>VENTANILLA, SANTA ROSA Y MALACAS</v>
          </cell>
          <cell r="E99" t="str">
            <v>MTTO DE BOMBAS  EN TALLERES</v>
          </cell>
          <cell r="F99" t="str">
            <v>RETIRAR DE SU LOCACIÓN,  TRASLADO A TALLERES CAMBIAR SELLOS MECANICOS Y RODAMIENTOS, REALIZAR PRUEBA HIDRÓSTÁTICA. ENEL PROPORCIONARÁ LOS REPUESTOS</v>
          </cell>
          <cell r="G99" t="str">
            <v>MMIM01</v>
          </cell>
          <cell r="H99" t="str">
            <v>NUM</v>
          </cell>
          <cell r="I99">
            <v>1</v>
          </cell>
          <cell r="J99">
            <v>8</v>
          </cell>
          <cell r="K99">
            <v>2</v>
          </cell>
          <cell r="L99">
            <v>16</v>
          </cell>
          <cell r="M99" t="str">
            <v>SI</v>
          </cell>
          <cell r="N99">
            <v>2</v>
          </cell>
          <cell r="O99">
            <v>2</v>
          </cell>
          <cell r="P99">
            <v>4</v>
          </cell>
          <cell r="Q99">
            <v>6</v>
          </cell>
          <cell r="R99">
            <v>6</v>
          </cell>
          <cell r="S99">
            <v>12</v>
          </cell>
          <cell r="T99">
            <v>879.32478648814674</v>
          </cell>
          <cell r="U99">
            <v>879.32478648814674</v>
          </cell>
          <cell r="V99">
            <v>879.32478648814674</v>
          </cell>
          <cell r="W99">
            <v>5275.9487189288802</v>
          </cell>
          <cell r="X99">
            <v>5275.9487189288802</v>
          </cell>
          <cell r="Y99">
            <v>10551.89743785776</v>
          </cell>
          <cell r="Z99">
            <v>10551.89743785776</v>
          </cell>
          <cell r="AA99">
            <v>879.32478648814674</v>
          </cell>
          <cell r="AB99">
            <v>19.171538486527368</v>
          </cell>
          <cell r="AC99">
            <v>20</v>
          </cell>
          <cell r="AD99">
            <v>136.79237940820821</v>
          </cell>
          <cell r="AE99">
            <v>247.88026323733348</v>
          </cell>
          <cell r="AF99">
            <v>46.086204742565343</v>
          </cell>
          <cell r="AG99">
            <v>65.135169369492345</v>
          </cell>
          <cell r="AH99" t="str">
            <v>Mecánica</v>
          </cell>
          <cell r="AI99">
            <v>879.32478648814674</v>
          </cell>
          <cell r="AJ99">
            <v>16</v>
          </cell>
          <cell r="AK99">
            <v>54.957799155509171</v>
          </cell>
        </row>
        <row r="100">
          <cell r="A100" t="str">
            <v>C097</v>
          </cell>
          <cell r="B100" t="str">
            <v>COND</v>
          </cell>
          <cell r="C100" t="str">
            <v>WWOLEII09080705700</v>
          </cell>
          <cell r="D100" t="str">
            <v>VENTANILLA, SANTA ROSA Y MALACAS</v>
          </cell>
          <cell r="E100" t="str">
            <v xml:space="preserve">DESMONTAR CABLE DE POTENCIA </v>
          </cell>
          <cell r="F100" t="str">
            <v>RETIRAR CUALQUIER TIPO DE CABLE DE POTENCIA, TRANSPORTE DEL MATERIAL HASTA EL PUNTO INDICADO, SE INCLUYE LA DESCONEXIÓN.</v>
          </cell>
          <cell r="G100" t="str">
            <v>LEII0900</v>
          </cell>
          <cell r="H100" t="str">
            <v>KG</v>
          </cell>
          <cell r="I100">
            <v>1</v>
          </cell>
          <cell r="J100">
            <v>10</v>
          </cell>
          <cell r="K100">
            <v>8</v>
          </cell>
          <cell r="L100">
            <v>80</v>
          </cell>
          <cell r="M100" t="str">
            <v>SI</v>
          </cell>
          <cell r="N100">
            <v>4</v>
          </cell>
          <cell r="O100">
            <v>3</v>
          </cell>
          <cell r="P100">
            <v>3</v>
          </cell>
          <cell r="Q100">
            <v>12</v>
          </cell>
          <cell r="R100">
            <v>9</v>
          </cell>
          <cell r="S100">
            <v>9</v>
          </cell>
          <cell r="T100">
            <v>3339.4372293992878</v>
          </cell>
          <cell r="U100">
            <v>3339.4372293992878</v>
          </cell>
          <cell r="V100">
            <v>3339.4372293992878</v>
          </cell>
          <cell r="W100">
            <v>40073.246752791456</v>
          </cell>
          <cell r="X100">
            <v>30054.935064593592</v>
          </cell>
          <cell r="Y100">
            <v>70128.181817385048</v>
          </cell>
          <cell r="Z100">
            <v>30054.935064593592</v>
          </cell>
          <cell r="AA100">
            <v>3339.4372293992878</v>
          </cell>
          <cell r="AB100">
            <v>18.357846183206494</v>
          </cell>
          <cell r="AC100">
            <v>80</v>
          </cell>
          <cell r="AD100">
            <v>555.19175820845828</v>
          </cell>
          <cell r="AE100">
            <v>893.22914025110197</v>
          </cell>
          <cell r="AF100">
            <v>175.02291558696479</v>
          </cell>
          <cell r="AG100">
            <v>247.36572069624356</v>
          </cell>
          <cell r="AH100" t="str">
            <v>Electricidad</v>
          </cell>
          <cell r="AI100">
            <v>3339.4372293992878</v>
          </cell>
          <cell r="AJ100">
            <v>80</v>
          </cell>
          <cell r="AK100">
            <v>41.742965367491095</v>
          </cell>
        </row>
        <row r="101">
          <cell r="A101" t="str">
            <v>C230</v>
          </cell>
          <cell r="B101" t="str">
            <v>COND</v>
          </cell>
          <cell r="C101" t="str">
            <v>WWOMMIM01060403000</v>
          </cell>
          <cell r="D101" t="str">
            <v>VENTANILLA, SANTA ROSA Y MALACAS</v>
          </cell>
          <cell r="E101" t="str">
            <v>REVISIÓN VÁLVULA DE BOLA</v>
          </cell>
          <cell r="F101" t="str">
            <v>RETIRADA DE LOS TORNILLOS DE APRIETE Y DESMONTAJE DE LA VÁLVULA. REVISIÓN COMPONENTES INTERNOS. LIMPIEZA Y SUSTITUCIÓN DE LOS COMPONENTES DAÑADOS. REMONTAJE DE LA VÁLVULA</v>
          </cell>
          <cell r="G101" t="str">
            <v>MMIM0100</v>
          </cell>
          <cell r="H101" t="str">
            <v>NUM</v>
          </cell>
          <cell r="I101">
            <v>1</v>
          </cell>
          <cell r="J101">
            <v>6</v>
          </cell>
          <cell r="K101">
            <v>2</v>
          </cell>
          <cell r="L101">
            <v>12</v>
          </cell>
          <cell r="M101" t="str">
            <v>NO</v>
          </cell>
          <cell r="N101">
            <v>4</v>
          </cell>
          <cell r="O101">
            <v>3</v>
          </cell>
          <cell r="P101">
            <v>3</v>
          </cell>
          <cell r="Q101">
            <v>12</v>
          </cell>
          <cell r="R101">
            <v>9</v>
          </cell>
          <cell r="S101">
            <v>9</v>
          </cell>
          <cell r="T101">
            <v>594.28750808499683</v>
          </cell>
          <cell r="U101">
            <v>594.28750808499683</v>
          </cell>
          <cell r="V101">
            <v>594.28750808499683</v>
          </cell>
          <cell r="W101">
            <v>7131.4500970199624</v>
          </cell>
          <cell r="X101">
            <v>5348.5875727649718</v>
          </cell>
          <cell r="Y101">
            <v>12480.037669784935</v>
          </cell>
          <cell r="Z101">
            <v>5348.5875727649718</v>
          </cell>
          <cell r="AA101">
            <v>594.28750808499683</v>
          </cell>
          <cell r="AB101">
            <v>24.651405043854066</v>
          </cell>
          <cell r="AC101">
            <v>12</v>
          </cell>
          <cell r="AD101">
            <v>85.593590126173623</v>
          </cell>
          <cell r="AE101">
            <v>137.70861650777744</v>
          </cell>
          <cell r="AF101">
            <v>31.14714402961199</v>
          </cell>
          <cell r="AG101">
            <v>44.021296895184953</v>
          </cell>
          <cell r="AH101" t="str">
            <v>Mecánica</v>
          </cell>
          <cell r="AI101">
            <v>594.28750808499683</v>
          </cell>
          <cell r="AJ101">
            <v>12</v>
          </cell>
          <cell r="AK101">
            <v>49.523959007083072</v>
          </cell>
        </row>
        <row r="102">
          <cell r="A102" t="str">
            <v>C134</v>
          </cell>
          <cell r="B102" t="str">
            <v>COND</v>
          </cell>
          <cell r="C102" t="str">
            <v>WWOLEII09081000200</v>
          </cell>
          <cell r="D102" t="str">
            <v>VENTANILLA, SANTA ROSA Y MALACAS</v>
          </cell>
          <cell r="E102" t="str">
            <v>CORRECTIVO SIMPLE CONEXIONES DE TIERRA</v>
          </cell>
          <cell r="F102" t="str">
            <v>RESTAURACIÓN DE LA CALIDAD DE LA CONEXIÓN DEFECTUOSA. LIMPIEZA DE LAS UPERFICIES DE CONTACTO, SUSTITUCIÓN DE LOS ELEMENTOS FALTANTES, APRIETE CONEXIONES Y COMPROBACIÓN.</v>
          </cell>
          <cell r="G102" t="str">
            <v>LEII0900</v>
          </cell>
          <cell r="H102" t="str">
            <v>NUM</v>
          </cell>
          <cell r="I102">
            <v>1</v>
          </cell>
          <cell r="J102">
            <v>1.5</v>
          </cell>
          <cell r="K102">
            <v>2</v>
          </cell>
          <cell r="L102">
            <v>3</v>
          </cell>
          <cell r="M102" t="str">
            <v>NO</v>
          </cell>
          <cell r="N102">
            <v>4</v>
          </cell>
          <cell r="O102">
            <v>3</v>
          </cell>
          <cell r="P102">
            <v>3</v>
          </cell>
          <cell r="Q102">
            <v>12</v>
          </cell>
          <cell r="R102">
            <v>9</v>
          </cell>
          <cell r="S102">
            <v>9</v>
          </cell>
          <cell r="T102">
            <v>144.33650573895716</v>
          </cell>
          <cell r="U102">
            <v>144.33650573895716</v>
          </cell>
          <cell r="V102">
            <v>144.33650573895716</v>
          </cell>
          <cell r="W102">
            <v>1732.0380688674859</v>
          </cell>
          <cell r="X102">
            <v>1299.0285516506144</v>
          </cell>
          <cell r="Y102">
            <v>3031.0666205181005</v>
          </cell>
          <cell r="Z102">
            <v>1299.0285516506144</v>
          </cell>
          <cell r="AA102">
            <v>144.33650573895716</v>
          </cell>
          <cell r="AB102">
            <v>23.057832511738386</v>
          </cell>
          <cell r="AC102">
            <v>3</v>
          </cell>
          <cell r="AD102">
            <v>21.81277571323319</v>
          </cell>
          <cell r="AE102">
            <v>35.093833092359773</v>
          </cell>
          <cell r="AF102">
            <v>7.5648063804484877</v>
          </cell>
          <cell r="AG102">
            <v>10.69159301770053</v>
          </cell>
          <cell r="AH102" t="str">
            <v>Electricidad</v>
          </cell>
          <cell r="AI102">
            <v>144.33650573895716</v>
          </cell>
          <cell r="AJ102">
            <v>3</v>
          </cell>
          <cell r="AK102">
            <v>48.112168579652383</v>
          </cell>
        </row>
        <row r="103">
          <cell r="A103" t="str">
            <v>P002</v>
          </cell>
          <cell r="B103" t="str">
            <v>PREV</v>
          </cell>
          <cell r="C103" t="str">
            <v>PEOLEII0900MECAL01</v>
          </cell>
          <cell r="D103" t="str">
            <v>VENTANILLA</v>
          </cell>
          <cell r="E103" t="str">
            <v>MANTTO CABLE CALEFACTOR</v>
          </cell>
          <cell r="F103" t="str">
            <v>RESISTENCIA DE CALEFACCION PREVENTIVO  (MEDIDA DE AISLAMIENTO, RESISTENCIA, MEDICION DE CORRIENTES)</v>
          </cell>
          <cell r="G103" t="str">
            <v>LEII0900</v>
          </cell>
          <cell r="H103" t="str">
            <v>NUM</v>
          </cell>
          <cell r="I103">
            <v>1</v>
          </cell>
          <cell r="J103">
            <v>2</v>
          </cell>
          <cell r="K103">
            <v>2</v>
          </cell>
          <cell r="L103">
            <v>4</v>
          </cell>
          <cell r="M103" t="str">
            <v>NO</v>
          </cell>
          <cell r="N103">
            <v>4</v>
          </cell>
          <cell r="O103">
            <v>0</v>
          </cell>
          <cell r="P103">
            <v>0</v>
          </cell>
          <cell r="Q103">
            <v>12</v>
          </cell>
          <cell r="R103">
            <v>0</v>
          </cell>
          <cell r="S103">
            <v>0</v>
          </cell>
          <cell r="T103">
            <v>197.11768866169552</v>
          </cell>
          <cell r="U103"/>
          <cell r="V103">
            <v>0</v>
          </cell>
          <cell r="W103">
            <v>2365.4122639403463</v>
          </cell>
          <cell r="X103">
            <v>0</v>
          </cell>
          <cell r="Y103">
            <v>2365.4122639403463</v>
          </cell>
          <cell r="Z103">
            <v>0</v>
          </cell>
          <cell r="AA103">
            <v>197.11768866169552</v>
          </cell>
          <cell r="AB103">
            <v>23.057832511738386</v>
          </cell>
          <cell r="AC103">
            <v>4</v>
          </cell>
          <cell r="AD103">
            <v>28.432197845427591</v>
          </cell>
          <cell r="AE103">
            <v>51.521734740127172</v>
          </cell>
          <cell r="AF103">
            <v>10.331115757950498</v>
          </cell>
          <cell r="AG103">
            <v>14.601310271236706</v>
          </cell>
          <cell r="AH103" t="str">
            <v>Electricidad</v>
          </cell>
          <cell r="AI103">
            <v>197.11768866169552</v>
          </cell>
          <cell r="AJ103">
            <v>4</v>
          </cell>
          <cell r="AK103">
            <v>49.279422165423881</v>
          </cell>
        </row>
        <row r="104">
          <cell r="A104" t="str">
            <v>C342</v>
          </cell>
          <cell r="B104" t="str">
            <v>COND</v>
          </cell>
          <cell r="C104" t="str">
            <v>PEOLEII09MEREEMP06</v>
          </cell>
          <cell r="D104" t="str">
            <v>VENTANILLA</v>
          </cell>
          <cell r="E104" t="str">
            <v>CAMBIO CABLE CALEFACTOR</v>
          </cell>
          <cell r="F104" t="str">
            <v>RESISTENCIA DE CALEFACCION (MEDIDA DE AISLAMIENTO, RESISTENCIA, RETIRO E INSTALACION DE AISLAMIENTOS Y RESISTENCIA / SENSOR, MEDICION DE CORRIENTES)</v>
          </cell>
          <cell r="G104" t="str">
            <v>LEII0900</v>
          </cell>
          <cell r="H104" t="str">
            <v>NUM</v>
          </cell>
          <cell r="I104">
            <v>1</v>
          </cell>
          <cell r="J104">
            <v>3</v>
          </cell>
          <cell r="K104">
            <v>2</v>
          </cell>
          <cell r="L104">
            <v>6</v>
          </cell>
          <cell r="M104" t="str">
            <v>NO</v>
          </cell>
          <cell r="N104">
            <v>6</v>
          </cell>
          <cell r="O104">
            <v>0</v>
          </cell>
          <cell r="P104">
            <v>0</v>
          </cell>
          <cell r="Q104">
            <v>18</v>
          </cell>
          <cell r="R104">
            <v>0</v>
          </cell>
          <cell r="S104">
            <v>0</v>
          </cell>
          <cell r="T104">
            <v>285.45910341383069</v>
          </cell>
          <cell r="U104"/>
          <cell r="V104">
            <v>0</v>
          </cell>
          <cell r="W104">
            <v>5138.2638614489524</v>
          </cell>
          <cell r="X104">
            <v>0</v>
          </cell>
          <cell r="Y104">
            <v>5138.2638614489524</v>
          </cell>
          <cell r="Z104">
            <v>0</v>
          </cell>
          <cell r="AA104">
            <v>285.45910341383069</v>
          </cell>
          <cell r="AB104">
            <v>23.057832511738386</v>
          </cell>
          <cell r="AC104">
            <v>6</v>
          </cell>
          <cell r="AD104">
            <v>42.549452850671145</v>
          </cell>
          <cell r="AE104">
            <v>68.456367779309673</v>
          </cell>
          <cell r="AF104">
            <v>14.961168942024669</v>
          </cell>
          <cell r="AG104">
            <v>21.145118771394863</v>
          </cell>
          <cell r="AH104" t="e">
            <v>#N/A</v>
          </cell>
          <cell r="AI104">
            <v>285.45910341383069</v>
          </cell>
          <cell r="AJ104">
            <v>6</v>
          </cell>
          <cell r="AK104">
            <v>47.576517235638448</v>
          </cell>
        </row>
        <row r="105">
          <cell r="A105" t="str">
            <v>C232</v>
          </cell>
          <cell r="B105" t="str">
            <v>COND</v>
          </cell>
          <cell r="C105" t="str">
            <v>WWOMMIM01060402000</v>
          </cell>
          <cell r="D105" t="str">
            <v>VENTANILLA, SANTA ROSA Y MALACAS</v>
          </cell>
          <cell r="E105" t="str">
            <v>REVISIÓN VÁLVULA DIAFRAGMA D&gt;2&lt;=4 IN</v>
          </cell>
          <cell r="F105" t="str">
            <v>REESTABLECER LAS CONDICIÓNES DE SELLADO PERFECTO, TANTO INTERIOR Y COMO EXTERIOR, DE LAS VÁLVULAS ANTIRRETORNO. LA ACTIVIDAD INCLUYE: LA ELIMINACIÓN DEL ACTUADOR NEUMÁTICO, LA ELIMINACIÓN DEL YUGO VÁLVULA, EL DESMONTAJE DE LA MEMBRANA Y SU MECANISMO DE ACCIÓNAMIENTO, LIMPIEZA E INSPECCIÓN VISUAL DE TODOS LOS COMPONENTES DE LA VÁLVULA; SUSTITUCIÓN DE COJINETES, MECANISMO DE ACCIÓNAMIENTO DE LA MEMBRANA, LUBRICACIÓN DE PARTES MÓVILES Y REPOSICIÓN DE LA VÁLVULA; SUSTITUCIÓN MOTOR SERVO.</v>
          </cell>
          <cell r="G105" t="str">
            <v>MMIM0100</v>
          </cell>
          <cell r="H105" t="str">
            <v>NUM</v>
          </cell>
          <cell r="I105">
            <v>1</v>
          </cell>
          <cell r="J105">
            <v>8</v>
          </cell>
          <cell r="K105">
            <v>2</v>
          </cell>
          <cell r="L105">
            <v>16</v>
          </cell>
          <cell r="M105" t="str">
            <v>NO</v>
          </cell>
          <cell r="N105">
            <v>4</v>
          </cell>
          <cell r="O105">
            <v>3</v>
          </cell>
          <cell r="P105">
            <v>3</v>
          </cell>
          <cell r="Q105">
            <v>12</v>
          </cell>
          <cell r="R105">
            <v>9</v>
          </cell>
          <cell r="S105">
            <v>9</v>
          </cell>
          <cell r="T105">
            <v>792.38334411332789</v>
          </cell>
          <cell r="U105">
            <v>792.38334411332789</v>
          </cell>
          <cell r="V105">
            <v>792.38334411332789</v>
          </cell>
          <cell r="W105">
            <v>9508.6001293599347</v>
          </cell>
          <cell r="X105">
            <v>7131.4500970199515</v>
          </cell>
          <cell r="Y105">
            <v>16640.050226379884</v>
          </cell>
          <cell r="Z105">
            <v>7131.4500970199515</v>
          </cell>
          <cell r="AA105">
            <v>792.38334411332789</v>
          </cell>
          <cell r="AB105">
            <v>24.651405043854062</v>
          </cell>
          <cell r="AC105">
            <v>16</v>
          </cell>
          <cell r="AD105">
            <v>114.12478683489783</v>
          </cell>
          <cell r="AE105">
            <v>183.61148867703605</v>
          </cell>
          <cell r="AF105">
            <v>41.529525372815932</v>
          </cell>
          <cell r="AG105">
            <v>58.695062526913183</v>
          </cell>
          <cell r="AH105" t="str">
            <v>Mecánica</v>
          </cell>
          <cell r="AI105">
            <v>792.38334411332789</v>
          </cell>
          <cell r="AJ105">
            <v>16</v>
          </cell>
          <cell r="AK105">
            <v>49.523959007082993</v>
          </cell>
        </row>
        <row r="106">
          <cell r="A106" t="str">
            <v>C233</v>
          </cell>
          <cell r="B106" t="str">
            <v>COND</v>
          </cell>
          <cell r="C106" t="str">
            <v>WWOMMIM01060402100</v>
          </cell>
          <cell r="D106" t="str">
            <v>VENTANILLA, SANTA ROSA Y MALACAS</v>
          </cell>
          <cell r="E106" t="str">
            <v>REVISIÓN VÁLVULA DIAFRAGMA D&gt;4 IN</v>
          </cell>
          <cell r="F106" t="str">
            <v>REESTABLECER LAS CONDICIÓNES DE SELLADO PERFECTO, TANTO INTERIOR Y COMO EXTERIOR, DE LAS VÁLVULAS ANTIRRETORNO. LA ACTIVIDAD INCLUYE: LA ELIMINACIÓN DEL ACTUADOR NEUMÁTICO, LA ELIMINACIÓN DEL YUGO VÁLVULA, EL DESMONTAJE DE LA MEMBRANA Y SU MECANISMO DE ACCIÓNAMIENTO, LIMPIEZA E INSPECCIÓN VISUAL DE TODOS LOS COMPONENTES DE LA VÁLVULA; SUSTITUCIÓN DE COJINETES, MECANISMO DE ACCIÓNAMIENTO DE LA MEMBRANA, LUBRICACIÓN DE PARTES MÓVILES Y REPOSICIÓN DE LA VÁLVULA; SUSTITUCIÓN MOTOR SERVO.</v>
          </cell>
          <cell r="G106" t="str">
            <v>MMIM0100</v>
          </cell>
          <cell r="H106" t="str">
            <v>NUM</v>
          </cell>
          <cell r="I106">
            <v>1</v>
          </cell>
          <cell r="J106">
            <v>10</v>
          </cell>
          <cell r="K106">
            <v>2</v>
          </cell>
          <cell r="L106">
            <v>20</v>
          </cell>
          <cell r="M106" t="str">
            <v>NO</v>
          </cell>
          <cell r="N106">
            <v>4</v>
          </cell>
          <cell r="O106">
            <v>3</v>
          </cell>
          <cell r="P106">
            <v>3</v>
          </cell>
          <cell r="Q106">
            <v>12</v>
          </cell>
          <cell r="R106">
            <v>9</v>
          </cell>
          <cell r="S106">
            <v>9</v>
          </cell>
          <cell r="T106">
            <v>990.47918014166021</v>
          </cell>
          <cell r="U106">
            <v>990.47918014166021</v>
          </cell>
          <cell r="V106">
            <v>990.47918014166021</v>
          </cell>
          <cell r="W106">
            <v>11885.750161699922</v>
          </cell>
          <cell r="X106">
            <v>8914.3126212749412</v>
          </cell>
          <cell r="Y106">
            <v>20800.062782974863</v>
          </cell>
          <cell r="Z106">
            <v>8914.3126212749412</v>
          </cell>
          <cell r="AA106">
            <v>990.47918014166021</v>
          </cell>
          <cell r="AB106">
            <v>24.651405043854062</v>
          </cell>
          <cell r="AC106">
            <v>20</v>
          </cell>
          <cell r="AD106">
            <v>142.65598354362243</v>
          </cell>
          <cell r="AE106">
            <v>229.51436084629529</v>
          </cell>
          <cell r="AF106">
            <v>51.911906716019928</v>
          </cell>
          <cell r="AG106">
            <v>73.368828158641506</v>
          </cell>
          <cell r="AH106" t="str">
            <v>Mecánica</v>
          </cell>
          <cell r="AI106">
            <v>990.47918014166021</v>
          </cell>
          <cell r="AJ106">
            <v>20</v>
          </cell>
          <cell r="AK106">
            <v>49.523959007083008</v>
          </cell>
        </row>
        <row r="107">
          <cell r="A107" t="str">
            <v>C231</v>
          </cell>
          <cell r="B107" t="str">
            <v>COND</v>
          </cell>
          <cell r="C107" t="str">
            <v>WWOMMIM01060401900</v>
          </cell>
          <cell r="D107" t="str">
            <v>VENTANILLA, SANTA ROSA Y MALACAS</v>
          </cell>
          <cell r="E107" t="str">
            <v>REVISIÓN VÁLVULA DIAFRAGMA D&lt;=2 IN</v>
          </cell>
          <cell r="F107" t="str">
            <v>REESTABLECER LAS CONDICIÓNES DE SELLADO INTERIOR-EXTERIOR DE VÁLVULAS DE DIAFRAGMA. DESMON ACTUADOR, YUGO, MEMBRANA Y MECANISMO DE ACCIÓNAMIENTO. LIMPIEZA E INSPECCIÓN VISUAL DE TODOS LOS COMPONENTES DE LA VÁLVULA; SUSTITUCIÓN DE COJINETES, MECANISMO DE ACCIÓNAMIENTO DE LA MEMBRANA, LUBRICACIÓN DE PARTES MÓVILES Y REPOSICIÓN DE LA VÁLVULA. MONTAJE DEL CONJUNTO</v>
          </cell>
          <cell r="G107" t="str">
            <v>MMIM0100</v>
          </cell>
          <cell r="H107" t="str">
            <v>NUM</v>
          </cell>
          <cell r="I107">
            <v>1</v>
          </cell>
          <cell r="J107">
            <v>6</v>
          </cell>
          <cell r="K107">
            <v>2</v>
          </cell>
          <cell r="L107">
            <v>12</v>
          </cell>
          <cell r="M107" t="str">
            <v>NO</v>
          </cell>
          <cell r="N107">
            <v>4</v>
          </cell>
          <cell r="O107">
            <v>3</v>
          </cell>
          <cell r="P107">
            <v>3</v>
          </cell>
          <cell r="Q107">
            <v>12</v>
          </cell>
          <cell r="R107">
            <v>9</v>
          </cell>
          <cell r="S107">
            <v>9</v>
          </cell>
          <cell r="T107">
            <v>594.28750808499626</v>
          </cell>
          <cell r="U107">
            <v>594.28750808499626</v>
          </cell>
          <cell r="V107">
            <v>594.28750808499626</v>
          </cell>
          <cell r="W107">
            <v>7131.4500970199551</v>
          </cell>
          <cell r="X107">
            <v>5348.5875727649664</v>
          </cell>
          <cell r="Y107">
            <v>12480.037669784921</v>
          </cell>
          <cell r="Z107">
            <v>5348.5875727649664</v>
          </cell>
          <cell r="AA107">
            <v>594.28750808499626</v>
          </cell>
          <cell r="AB107">
            <v>24.651405043854066</v>
          </cell>
          <cell r="AC107">
            <v>12</v>
          </cell>
          <cell r="AD107">
            <v>85.593590126173453</v>
          </cell>
          <cell r="AE107">
            <v>137.70861650777718</v>
          </cell>
          <cell r="AF107">
            <v>31.147144029611962</v>
          </cell>
          <cell r="AG107">
            <v>44.021296895184904</v>
          </cell>
          <cell r="AH107" t="str">
            <v>Mecánica</v>
          </cell>
          <cell r="AI107">
            <v>594.28750808499626</v>
          </cell>
          <cell r="AJ107">
            <v>12</v>
          </cell>
          <cell r="AK107">
            <v>49.523959007083022</v>
          </cell>
        </row>
        <row r="108">
          <cell r="A108" t="str">
            <v>P085</v>
          </cell>
          <cell r="B108" t="str">
            <v>PREV</v>
          </cell>
          <cell r="C108" t="str">
            <v>WWOMMIM01060500300</v>
          </cell>
          <cell r="D108" t="str">
            <v>SANTA ROSA Y MALACAS</v>
          </cell>
          <cell r="E108" t="str">
            <v>SUSTITUCIÓN FILTRO AIRE (EQUIPOS VARIOS)</v>
          </cell>
          <cell r="F108" t="str">
            <v>REEMPLAZO DE FILTROS DE AIRE DE DIFERENTES TAMAÑOS EN DIVERSOS EQUIPOS. INCLUYE RECOGIDA EN ALMACÉN, CORTE DE FILTROS, ELIMINACIÓN DE LA EXISTENTE, LIMPIEZA, SUSTITUCIÓN (FILTROS TG SE EXCLUYEN)</v>
          </cell>
          <cell r="G108" t="str">
            <v>MMIM0106</v>
          </cell>
          <cell r="H108" t="str">
            <v>NUM</v>
          </cell>
          <cell r="I108">
            <v>1</v>
          </cell>
          <cell r="J108">
            <v>1</v>
          </cell>
          <cell r="K108">
            <v>2</v>
          </cell>
          <cell r="L108">
            <v>2</v>
          </cell>
          <cell r="M108" t="str">
            <v>NO</v>
          </cell>
          <cell r="N108">
            <v>0</v>
          </cell>
          <cell r="O108">
            <v>20</v>
          </cell>
          <cell r="P108">
            <v>28</v>
          </cell>
          <cell r="Q108">
            <v>0</v>
          </cell>
          <cell r="R108">
            <v>60</v>
          </cell>
          <cell r="S108">
            <v>84</v>
          </cell>
          <cell r="T108"/>
          <cell r="U108">
            <v>87.932478648814623</v>
          </cell>
          <cell r="V108">
            <v>87.932478648814623</v>
          </cell>
          <cell r="W108">
            <v>0</v>
          </cell>
          <cell r="X108">
            <v>5275.9487189288775</v>
          </cell>
          <cell r="Y108">
            <v>5275.9487189288775</v>
          </cell>
          <cell r="Z108">
            <v>7386.3282065004287</v>
          </cell>
          <cell r="AA108">
            <v>87.932478648814623</v>
          </cell>
          <cell r="AB108">
            <v>19.171538486527368</v>
          </cell>
          <cell r="AC108">
            <v>2</v>
          </cell>
          <cell r="AD108">
            <v>13.679237940820807</v>
          </cell>
          <cell r="AE108">
            <v>24.788026323733323</v>
          </cell>
          <cell r="AF108">
            <v>4.608620474256532</v>
          </cell>
          <cell r="AG108">
            <v>6.5135169369492312</v>
          </cell>
          <cell r="AH108" t="str">
            <v>Mecánica</v>
          </cell>
          <cell r="AI108">
            <v>87.932478648814623</v>
          </cell>
          <cell r="AJ108">
            <v>2</v>
          </cell>
          <cell r="AK108">
            <v>43.966239324407312</v>
          </cell>
        </row>
        <row r="109">
          <cell r="A109" t="str">
            <v>C256</v>
          </cell>
          <cell r="B109" t="str">
            <v>COND</v>
          </cell>
          <cell r="C109" t="str">
            <v>WWOMMIM01060500300</v>
          </cell>
          <cell r="D109" t="str">
            <v>VENTANILLA, SANTA ROSA Y MALACAS</v>
          </cell>
          <cell r="E109" t="str">
            <v>SUSTITUCIÓN FILTRO AIRE (EQUIPOS VARIOS)</v>
          </cell>
          <cell r="F109" t="str">
            <v>REEMPLAZO DE FILTROS DE AIRE DE DIFERENTES TAMAÑOS EN DIVERSOS EQUIPOS. INCLUYE RECOGIDA EN ALMACÉN, CORTE DE FILTROS, ELIMINACIÓN DE LA EXISTENTE, LIMPIEZA, SUSTITUCIÓN (FILTROS TG SE EXCLUYEN)</v>
          </cell>
          <cell r="G109" t="str">
            <v>MMIM0100</v>
          </cell>
          <cell r="H109" t="str">
            <v>NUM</v>
          </cell>
          <cell r="I109">
            <v>1</v>
          </cell>
          <cell r="J109">
            <v>1</v>
          </cell>
          <cell r="K109">
            <v>2</v>
          </cell>
          <cell r="L109">
            <v>2</v>
          </cell>
          <cell r="M109" t="str">
            <v>NO</v>
          </cell>
          <cell r="N109">
            <v>1</v>
          </cell>
          <cell r="O109">
            <v>1</v>
          </cell>
          <cell r="P109">
            <v>1</v>
          </cell>
          <cell r="Q109">
            <v>3</v>
          </cell>
          <cell r="R109">
            <v>3</v>
          </cell>
          <cell r="S109">
            <v>3</v>
          </cell>
          <cell r="T109">
            <v>85.635158830664992</v>
          </cell>
          <cell r="U109">
            <v>85.635158830664992</v>
          </cell>
          <cell r="V109">
            <v>85.635158830664992</v>
          </cell>
          <cell r="W109">
            <v>256.90547649199499</v>
          </cell>
          <cell r="X109">
            <v>256.90547649199499</v>
          </cell>
          <cell r="Y109">
            <v>513.81095298398998</v>
          </cell>
          <cell r="Z109">
            <v>256.90547649199499</v>
          </cell>
          <cell r="AA109">
            <v>85.635158830664992</v>
          </cell>
          <cell r="AB109">
            <v>19.171538486527368</v>
          </cell>
          <cell r="AC109">
            <v>2</v>
          </cell>
          <cell r="AD109">
            <v>13.975620427880031</v>
          </cell>
          <cell r="AE109">
            <v>22.484900459534298</v>
          </cell>
          <cell r="AF109">
            <v>4.4882158716281442</v>
          </cell>
          <cell r="AG109">
            <v>6.3433450985677773</v>
          </cell>
          <cell r="AH109" t="str">
            <v>Mecánica</v>
          </cell>
          <cell r="AI109">
            <v>85.635158830664992</v>
          </cell>
          <cell r="AJ109">
            <v>2</v>
          </cell>
          <cell r="AK109">
            <v>42.817579415332496</v>
          </cell>
        </row>
        <row r="110">
          <cell r="A110" t="str">
            <v>P113</v>
          </cell>
          <cell r="B110" t="str">
            <v>PREV</v>
          </cell>
          <cell r="C110" t="str">
            <v>PEOMMIM01MMINSP001</v>
          </cell>
          <cell r="D110" t="str">
            <v>MALACAS</v>
          </cell>
          <cell r="E110" t="str">
            <v>INPSPECCIÓN DE DUCTOS DE GAS  CAMPO</v>
          </cell>
          <cell r="F110" t="str">
            <v>RECORRIDO DE LOS DUCTOS DE GAS Y DE ALMACENAMIENTO PLANTA PARIÑAS /MALACAS.IDENTIFICACIÓN DE ANORMALIDADES DE TERRENO, FUGAS, AFECTACIÓN PO FENOMENO DEL NIÑO O DE TERCEROS</v>
          </cell>
          <cell r="G110" t="str">
            <v>MMIM01</v>
          </cell>
          <cell r="H110" t="str">
            <v>NUM</v>
          </cell>
          <cell r="I110">
            <v>1</v>
          </cell>
          <cell r="J110">
            <v>4</v>
          </cell>
          <cell r="K110">
            <v>2</v>
          </cell>
          <cell r="L110">
            <v>8</v>
          </cell>
          <cell r="M110" t="str">
            <v>NO</v>
          </cell>
          <cell r="N110">
            <v>0</v>
          </cell>
          <cell r="O110">
            <v>0</v>
          </cell>
          <cell r="P110">
            <v>6</v>
          </cell>
          <cell r="Q110">
            <v>0</v>
          </cell>
          <cell r="R110">
            <v>0</v>
          </cell>
          <cell r="S110">
            <v>18</v>
          </cell>
          <cell r="T110"/>
          <cell r="U110"/>
          <cell r="V110">
            <v>719.22072604391246</v>
          </cell>
          <cell r="W110">
            <v>0</v>
          </cell>
          <cell r="X110">
            <v>0</v>
          </cell>
          <cell r="Y110">
            <v>0</v>
          </cell>
          <cell r="Z110">
            <v>12945.973068790425</v>
          </cell>
          <cell r="AA110">
            <v>719.22072604391246</v>
          </cell>
          <cell r="AB110">
            <v>21.097736084341122</v>
          </cell>
          <cell r="AC110">
            <v>16</v>
          </cell>
          <cell r="AD110">
            <v>115.61996598811024</v>
          </cell>
          <cell r="AE110">
            <v>175.06636676368316</v>
          </cell>
          <cell r="AF110">
            <v>37.695006606075083</v>
          </cell>
          <cell r="AG110">
            <v>53.275609336586115</v>
          </cell>
          <cell r="AH110" t="e">
            <v>#N/A</v>
          </cell>
          <cell r="AI110">
            <v>719.22072604391246</v>
          </cell>
          <cell r="AJ110">
            <v>8</v>
          </cell>
          <cell r="AK110">
            <v>89.902590755489058</v>
          </cell>
        </row>
        <row r="111">
          <cell r="A111" t="str">
            <v>C297</v>
          </cell>
          <cell r="B111" t="str">
            <v>COND</v>
          </cell>
          <cell r="C111" t="str">
            <v>WWOMMIM01061200400</v>
          </cell>
          <cell r="D111" t="str">
            <v>VENTANILLA, SANTA ROSA Y MALACAS</v>
          </cell>
          <cell r="E111" t="str">
            <v>REP 2º PINCHAZO HAZ TUBULAR CONDENSADOR</v>
          </cell>
          <cell r="F111" t="str">
            <v>RECINTO CONFINADO. LOCALIZAR FUGA SEGÚN EL PROCEDIMIENTO DEL FABRICANTE (ADIVITO FLUORESCENTE, LÁMINA PLÁSTICA, PRESURIZACIÓN DE TUBOS O SIMILAR). SUMINISTRO E INSTALACIÓN DE TAPÓN. IDENTIFICACIÓN TUBOS TAPONADOS EN DOCUMENTACIÓN</v>
          </cell>
          <cell r="G111" t="str">
            <v>MMIM0100</v>
          </cell>
          <cell r="H111" t="str">
            <v>NUM</v>
          </cell>
          <cell r="I111">
            <v>1</v>
          </cell>
          <cell r="J111">
            <v>1</v>
          </cell>
          <cell r="K111">
            <v>3</v>
          </cell>
          <cell r="L111">
            <v>3</v>
          </cell>
          <cell r="M111" t="str">
            <v>SI</v>
          </cell>
          <cell r="N111">
            <v>4</v>
          </cell>
          <cell r="O111">
            <v>3</v>
          </cell>
          <cell r="P111">
            <v>3</v>
          </cell>
          <cell r="Q111">
            <v>12</v>
          </cell>
          <cell r="R111">
            <v>9</v>
          </cell>
          <cell r="S111">
            <v>9</v>
          </cell>
          <cell r="T111">
            <v>137.26422936415301</v>
          </cell>
          <cell r="U111">
            <v>137.26422936415301</v>
          </cell>
          <cell r="V111">
            <v>137.26422936415301</v>
          </cell>
          <cell r="W111">
            <v>1647.170752369836</v>
          </cell>
          <cell r="X111">
            <v>1235.378064277377</v>
          </cell>
          <cell r="Y111">
            <v>2882.5488166472132</v>
          </cell>
          <cell r="Z111">
            <v>1235.378064277377</v>
          </cell>
          <cell r="AA111">
            <v>137.26422936415301</v>
          </cell>
          <cell r="AB111">
            <v>21.533127692412709</v>
          </cell>
          <cell r="AC111">
            <v>3</v>
          </cell>
          <cell r="AD111">
            <v>21.198092852607143</v>
          </cell>
          <cell r="AE111">
            <v>34.104890740449108</v>
          </cell>
          <cell r="AF111">
            <v>7.1941420002176626</v>
          </cell>
          <cell r="AG111">
            <v>10.167720693640964</v>
          </cell>
          <cell r="AH111" t="str">
            <v>Mecánica</v>
          </cell>
          <cell r="AI111">
            <v>137.26422936415301</v>
          </cell>
          <cell r="AJ111">
            <v>3</v>
          </cell>
          <cell r="AK111">
            <v>45.754743121384337</v>
          </cell>
        </row>
        <row r="112">
          <cell r="A112" t="str">
            <v>C298</v>
          </cell>
          <cell r="B112" t="str">
            <v>COND</v>
          </cell>
          <cell r="C112" t="str">
            <v>WWOMMIM01061200300</v>
          </cell>
          <cell r="D112" t="str">
            <v>VENTANILLA, SANTA ROSA Y MALACAS</v>
          </cell>
          <cell r="E112" t="str">
            <v>REP. PINCHAZO EN HAZ TUBULAR CONDENSADOR</v>
          </cell>
          <cell r="F112" t="str">
            <v>RECINTO CONFINADO. LIMPIEZA DE PLACAS TUBULARES 2 CARAS. LOCALIZAR FUGA SEGÚN EL PROCEDIMIENTO DEL FABRICANTE (ADIVITO FLUORESCENTE, LÁMINA PLÁSTICA, PRESURIZACIÓN DE TUBOS O SIMILAR). SUMINISTRO E INSTALACIÓN DE TAPÓN. IDENTIFICACIÓN TUBOS TAPONADOS EN DOCUMENTACIÓN</v>
          </cell>
          <cell r="G112" t="str">
            <v>MMIM0100</v>
          </cell>
          <cell r="H112" t="str">
            <v>NUM</v>
          </cell>
          <cell r="I112">
            <v>1</v>
          </cell>
          <cell r="J112">
            <v>1</v>
          </cell>
          <cell r="K112">
            <v>3</v>
          </cell>
          <cell r="L112">
            <v>3</v>
          </cell>
          <cell r="M112" t="str">
            <v>SI</v>
          </cell>
          <cell r="N112">
            <v>4</v>
          </cell>
          <cell r="O112">
            <v>3</v>
          </cell>
          <cell r="P112">
            <v>3</v>
          </cell>
          <cell r="Q112">
            <v>12</v>
          </cell>
          <cell r="R112">
            <v>9</v>
          </cell>
          <cell r="S112">
            <v>9</v>
          </cell>
          <cell r="T112">
            <v>137.26422936415318</v>
          </cell>
          <cell r="U112">
            <v>137.26422936415318</v>
          </cell>
          <cell r="V112">
            <v>137.26422936415318</v>
          </cell>
          <cell r="W112">
            <v>1647.1707523698383</v>
          </cell>
          <cell r="X112">
            <v>1235.3780642773786</v>
          </cell>
          <cell r="Y112">
            <v>2882.5488166472169</v>
          </cell>
          <cell r="Z112">
            <v>1235.3780642773786</v>
          </cell>
          <cell r="AA112">
            <v>137.26422936415318</v>
          </cell>
          <cell r="AB112">
            <v>21.533127692412709</v>
          </cell>
          <cell r="AC112">
            <v>3</v>
          </cell>
          <cell r="AD112">
            <v>21.198092852607203</v>
          </cell>
          <cell r="AE112">
            <v>34.104890740449207</v>
          </cell>
          <cell r="AF112">
            <v>7.1941420002176724</v>
          </cell>
          <cell r="AG112">
            <v>10.167720693640977</v>
          </cell>
          <cell r="AH112" t="str">
            <v>Mecánica</v>
          </cell>
          <cell r="AI112">
            <v>137.26422936415318</v>
          </cell>
          <cell r="AJ112">
            <v>3</v>
          </cell>
          <cell r="AK112">
            <v>45.754743121384394</v>
          </cell>
        </row>
        <row r="113">
          <cell r="A113" t="str">
            <v>C295</v>
          </cell>
          <cell r="B113" t="str">
            <v>COND</v>
          </cell>
          <cell r="C113" t="str">
            <v>WWOMMIM01061200100</v>
          </cell>
          <cell r="D113" t="str">
            <v>VENTANILLA, SANTA ROSA Y MALACAS</v>
          </cell>
          <cell r="E113" t="str">
            <v>INSPEC VISUAL GENERAL CONDEN(LADO AGUA)</v>
          </cell>
          <cell r="F113" t="str">
            <v>RECINTO CONFINADO. INSPECCIÓN VISUAL DE LAS CAJAS Y HAZ TUBULAR. LIMPIEZA CAJAS AGUA DE MAR CON AGUA A PRESIÓN. INSPECCIÓN VISUAL JUNTAS DE EXPANSIÓN Y TUBERÍAS, ENTRADA Y SALIDA AL CONDENSADOR. FABRICAR JUNTAS DE GOMA BOCAS DE HOMBRE</v>
          </cell>
          <cell r="G113" t="str">
            <v>MMIM0100</v>
          </cell>
          <cell r="H113" t="str">
            <v>NUM</v>
          </cell>
          <cell r="I113">
            <v>1</v>
          </cell>
          <cell r="J113">
            <v>10</v>
          </cell>
          <cell r="K113">
            <v>3</v>
          </cell>
          <cell r="L113">
            <v>30</v>
          </cell>
          <cell r="M113" t="str">
            <v>SI</v>
          </cell>
          <cell r="N113">
            <v>4</v>
          </cell>
          <cell r="O113">
            <v>3</v>
          </cell>
          <cell r="P113">
            <v>3</v>
          </cell>
          <cell r="Q113">
            <v>12</v>
          </cell>
          <cell r="R113">
            <v>9</v>
          </cell>
          <cell r="S113">
            <v>9</v>
          </cell>
          <cell r="T113">
            <v>1296.9976910073151</v>
          </cell>
          <cell r="U113">
            <v>1296.9976910073151</v>
          </cell>
          <cell r="V113">
            <v>1296.9976910073151</v>
          </cell>
          <cell r="W113">
            <v>15563.972292087781</v>
          </cell>
          <cell r="X113">
            <v>11672.979219065835</v>
          </cell>
          <cell r="Y113">
            <v>27236.951511153617</v>
          </cell>
          <cell r="Z113">
            <v>11672.979219065835</v>
          </cell>
          <cell r="AA113">
            <v>1296.9976910073151</v>
          </cell>
          <cell r="AB113">
            <v>21.533127692412712</v>
          </cell>
          <cell r="AC113">
            <v>30</v>
          </cell>
          <cell r="AD113">
            <v>167.12513652418372</v>
          </cell>
          <cell r="AE113">
            <v>319.82800248620487</v>
          </cell>
          <cell r="AF113">
            <v>67.976818186966184</v>
          </cell>
          <cell r="AG113">
            <v>96.073903037578901</v>
          </cell>
          <cell r="AH113" t="str">
            <v>Mecánica</v>
          </cell>
          <cell r="AI113">
            <v>1296.9976910073151</v>
          </cell>
          <cell r="AJ113">
            <v>30</v>
          </cell>
          <cell r="AK113">
            <v>43.233256366910503</v>
          </cell>
        </row>
        <row r="114">
          <cell r="A114" t="str">
            <v>P114</v>
          </cell>
          <cell r="B114" t="str">
            <v>PREV</v>
          </cell>
          <cell r="C114" t="str">
            <v>PEOMMIM0100MTCH001</v>
          </cell>
          <cell r="D114" t="str">
            <v>MALACAS</v>
          </cell>
          <cell r="E114" t="str">
            <v>MTTO  RECEPTOR LANZADOR CHANCHOS</v>
          </cell>
          <cell r="F114" t="str">
            <v>REALIZAR SINPECCIÓN INTETIOR Y EXTERIOR TANTO DEL LANZADOR COMO RECEPTOR DE CHANCHOS EN BATERÍA DE LLEGADA Y PLANTA PARIÑAS (UNNA)</v>
          </cell>
          <cell r="G114" t="str">
            <v>MMIM01</v>
          </cell>
          <cell r="H114" t="str">
            <v>NUM</v>
          </cell>
          <cell r="I114">
            <v>1</v>
          </cell>
          <cell r="J114">
            <v>6</v>
          </cell>
          <cell r="K114">
            <v>2</v>
          </cell>
          <cell r="L114">
            <v>12</v>
          </cell>
          <cell r="M114" t="str">
            <v>SI</v>
          </cell>
          <cell r="N114">
            <v>0</v>
          </cell>
          <cell r="O114">
            <v>0</v>
          </cell>
          <cell r="P114">
            <v>6</v>
          </cell>
          <cell r="Q114">
            <v>0</v>
          </cell>
          <cell r="R114">
            <v>0</v>
          </cell>
          <cell r="S114">
            <v>18</v>
          </cell>
          <cell r="T114"/>
          <cell r="U114"/>
          <cell r="V114">
            <v>719.2207260439119</v>
          </cell>
          <cell r="W114">
            <v>0</v>
          </cell>
          <cell r="X114">
            <v>0</v>
          </cell>
          <cell r="Y114">
            <v>0</v>
          </cell>
          <cell r="Z114">
            <v>12945.973068790414</v>
          </cell>
          <cell r="AA114">
            <v>719.2207260439119</v>
          </cell>
          <cell r="AB114">
            <v>21.097736084341122</v>
          </cell>
          <cell r="AC114">
            <v>16</v>
          </cell>
          <cell r="AD114">
            <v>115.61996598811001</v>
          </cell>
          <cell r="AE114">
            <v>175.06636676368282</v>
          </cell>
          <cell r="AF114">
            <v>37.695006606075047</v>
          </cell>
          <cell r="AG114">
            <v>53.275609336586065</v>
          </cell>
          <cell r="AH114" t="e">
            <v>#N/A</v>
          </cell>
          <cell r="AI114">
            <v>719.2207260439119</v>
          </cell>
          <cell r="AJ114">
            <v>12</v>
          </cell>
          <cell r="AK114">
            <v>59.935060503659322</v>
          </cell>
        </row>
        <row r="115">
          <cell r="A115" t="str">
            <v>P112</v>
          </cell>
          <cell r="B115" t="str">
            <v>PREV</v>
          </cell>
          <cell r="C115" t="str">
            <v>PEOMMIM01MMLIMP003</v>
          </cell>
          <cell r="D115" t="str">
            <v>MALACAS</v>
          </cell>
          <cell r="E115" t="str">
            <v>LIMPIEZA DE PANELES AIRE COMP AIRE</v>
          </cell>
          <cell r="F115" t="str">
            <v>REALIZAR LIMPIEZA EXTERIOR E INTERIOR DE  PANELES DE ENFRIAMIENTO AIRE-ACEITE PERTENICENTE A COMPRESORES DE AIRE DE TORNILLO IR / AC</v>
          </cell>
          <cell r="G115" t="str">
            <v>MMIM01</v>
          </cell>
          <cell r="H115" t="str">
            <v>NUM</v>
          </cell>
          <cell r="I115">
            <v>1</v>
          </cell>
          <cell r="J115">
            <v>8</v>
          </cell>
          <cell r="K115">
            <v>2</v>
          </cell>
          <cell r="L115">
            <v>16</v>
          </cell>
          <cell r="M115" t="str">
            <v>SI</v>
          </cell>
          <cell r="N115">
            <v>0</v>
          </cell>
          <cell r="O115">
            <v>0</v>
          </cell>
          <cell r="P115">
            <v>4</v>
          </cell>
          <cell r="Q115">
            <v>0</v>
          </cell>
          <cell r="R115">
            <v>0</v>
          </cell>
          <cell r="S115">
            <v>12</v>
          </cell>
          <cell r="T115"/>
          <cell r="U115"/>
          <cell r="V115">
            <v>793.56319890552561</v>
          </cell>
          <cell r="W115">
            <v>0</v>
          </cell>
          <cell r="X115">
            <v>0</v>
          </cell>
          <cell r="Y115">
            <v>0</v>
          </cell>
          <cell r="Z115">
            <v>9522.7583868663078</v>
          </cell>
          <cell r="AA115">
            <v>793.56319890552561</v>
          </cell>
          <cell r="AB115">
            <v>24.995271882708352</v>
          </cell>
          <cell r="AC115">
            <v>16</v>
          </cell>
          <cell r="AD115">
            <v>116.64563697820158</v>
          </cell>
          <cell r="AE115">
            <v>176.61938999972759</v>
          </cell>
          <cell r="AF115">
            <v>41.591362626075764</v>
          </cell>
          <cell r="AG115">
            <v>58.782459178187082</v>
          </cell>
          <cell r="AH115" t="e">
            <v>#N/A</v>
          </cell>
          <cell r="AI115">
            <v>793.56319890552561</v>
          </cell>
          <cell r="AJ115">
            <v>16</v>
          </cell>
          <cell r="AK115">
            <v>49.597699931595351</v>
          </cell>
        </row>
        <row r="116">
          <cell r="A116" t="str">
            <v>P116</v>
          </cell>
          <cell r="B116" t="str">
            <v>PREV</v>
          </cell>
          <cell r="C116" t="str">
            <v>PEOMMIM01MMVIBRAC1</v>
          </cell>
          <cell r="D116" t="str">
            <v>VENTANILLA, SANTA ROSA Y MALACAS</v>
          </cell>
          <cell r="E116" t="str">
            <v>ANÁLISIS VIBRACIONAL EQ ROTATIVO</v>
          </cell>
          <cell r="F116" t="str">
            <v>REALIZAR ANALISIS VIBRACIONAL CON ESPECTROS A EQUIPOS PRINCIPALES Y CRITICOS EN PLANTA. ENTREGA DE INFORME Y CONCLUSIONES</v>
          </cell>
          <cell r="G116" t="str">
            <v>MMIM01</v>
          </cell>
          <cell r="H116" t="str">
            <v>NUM</v>
          </cell>
          <cell r="I116">
            <v>1</v>
          </cell>
          <cell r="J116">
            <v>2</v>
          </cell>
          <cell r="K116">
            <v>1</v>
          </cell>
          <cell r="L116">
            <v>2</v>
          </cell>
          <cell r="M116" t="str">
            <v>NO</v>
          </cell>
          <cell r="N116">
            <v>2</v>
          </cell>
          <cell r="O116">
            <v>2</v>
          </cell>
          <cell r="P116">
            <v>6</v>
          </cell>
          <cell r="Q116">
            <v>6</v>
          </cell>
          <cell r="R116">
            <v>6</v>
          </cell>
          <cell r="S116">
            <v>18</v>
          </cell>
          <cell r="T116">
            <v>103.25814106697636</v>
          </cell>
          <cell r="U116">
            <v>103.25814106697636</v>
          </cell>
          <cell r="V116">
            <v>103.25814106697636</v>
          </cell>
          <cell r="W116">
            <v>619.54884640185821</v>
          </cell>
          <cell r="X116">
            <v>619.54884640185821</v>
          </cell>
          <cell r="Y116">
            <v>1239.0976928037164</v>
          </cell>
          <cell r="Z116">
            <v>1858.6465392055745</v>
          </cell>
          <cell r="AA116">
            <v>103.25814106697636</v>
          </cell>
          <cell r="AB116">
            <v>26.256306104183388</v>
          </cell>
          <cell r="AC116">
            <v>2</v>
          </cell>
          <cell r="AD116">
            <v>14.444944849454339</v>
          </cell>
          <cell r="AE116">
            <v>23.239980561829803</v>
          </cell>
          <cell r="AF116">
            <v>5.4118522571790546</v>
          </cell>
          <cell r="AG116">
            <v>7.6487511901463971</v>
          </cell>
          <cell r="AH116" t="str">
            <v>Mecánica</v>
          </cell>
          <cell r="AI116">
            <v>103.25814106697636</v>
          </cell>
          <cell r="AJ116">
            <v>2</v>
          </cell>
          <cell r="AK116">
            <v>51.629070533488182</v>
          </cell>
        </row>
        <row r="117">
          <cell r="A117" t="str">
            <v>C002</v>
          </cell>
          <cell r="B117" t="str">
            <v>COND</v>
          </cell>
          <cell r="C117" t="str">
            <v>WWOLEII09080100100</v>
          </cell>
          <cell r="D117" t="str">
            <v>VENTANILLA, SANTA ROSA Y MALACAS</v>
          </cell>
          <cell r="E117" t="str">
            <v>CORR. SIMPLE ACTUADOR HIDR. O NEUM.</v>
          </cell>
          <cell r="F117" t="str">
            <v>REALIZACIÓN DE UNA ACTIVIDAD DE MANTENIMIENTO CORRECTIVO COMO REPARACIÓNES DE FUGAS, SUSTITUCIÓN DE MANORREDUCTORES, SUSTITUCIÓN DE SOLENOIDES, SOSTITUCIÓN DEL POSICIÓNADOR, SUSTITUCIÓN DE FINALES DE CARRERA.  INCLUIDAS LAS VERIFICACIÓNES FUNCIÓNALES DESPUES DEL INTERVECIÓN.</v>
          </cell>
          <cell r="G117" t="str">
            <v>LEII0900</v>
          </cell>
          <cell r="H117" t="str">
            <v>NUM</v>
          </cell>
          <cell r="I117">
            <v>1</v>
          </cell>
          <cell r="J117">
            <v>4</v>
          </cell>
          <cell r="K117">
            <v>2</v>
          </cell>
          <cell r="L117">
            <v>8</v>
          </cell>
          <cell r="M117" t="str">
            <v>NO</v>
          </cell>
          <cell r="N117">
            <v>4</v>
          </cell>
          <cell r="O117">
            <v>3</v>
          </cell>
          <cell r="P117">
            <v>3</v>
          </cell>
          <cell r="Q117">
            <v>12</v>
          </cell>
          <cell r="R117">
            <v>9</v>
          </cell>
          <cell r="S117">
            <v>9</v>
          </cell>
          <cell r="T117">
            <v>378.77307852351817</v>
          </cell>
          <cell r="U117">
            <v>378.77307852351817</v>
          </cell>
          <cell r="V117">
            <v>378.77307852351817</v>
          </cell>
          <cell r="W117">
            <v>4545.2769422822184</v>
          </cell>
          <cell r="X117">
            <v>3408.9577067116634</v>
          </cell>
          <cell r="Y117">
            <v>7954.2346489938818</v>
          </cell>
          <cell r="Z117">
            <v>3408.9577067116634</v>
          </cell>
          <cell r="AA117">
            <v>378.77307852351817</v>
          </cell>
          <cell r="AB117">
            <v>23.466564118731693</v>
          </cell>
          <cell r="AC117">
            <v>8</v>
          </cell>
          <cell r="AD117">
            <v>54.863477962579807</v>
          </cell>
          <cell r="AE117">
            <v>88.267984038228917</v>
          </cell>
          <cell r="AF117">
            <v>19.851838497039736</v>
          </cell>
          <cell r="AG117">
            <v>28.057265075816161</v>
          </cell>
          <cell r="AH117" t="str">
            <v>Instrumentación</v>
          </cell>
          <cell r="AI117">
            <v>378.77307852351817</v>
          </cell>
          <cell r="AJ117">
            <v>8</v>
          </cell>
          <cell r="AK117">
            <v>47.346634815439771</v>
          </cell>
        </row>
        <row r="118">
          <cell r="A118" t="str">
            <v>P023</v>
          </cell>
          <cell r="B118" t="str">
            <v>PREV</v>
          </cell>
          <cell r="C118" t="str">
            <v>PEOLEII0900MEPTI01</v>
          </cell>
          <cell r="D118" t="str">
            <v>VENTANILLA, SANTA ROSA Y MALACAS</v>
          </cell>
          <cell r="E118" t="str">
            <v>MANTTO POZOS PAT</v>
          </cell>
          <cell r="F118" t="str">
            <v>REACTIVACION CON AGUA DE POZOS DE PUESTA A TIERRA, REVISION Y LIMPIEZA DE CONEXIONES</v>
          </cell>
          <cell r="G118" t="str">
            <v>LEII0900</v>
          </cell>
          <cell r="H118" t="str">
            <v>NUM</v>
          </cell>
          <cell r="I118">
            <v>1</v>
          </cell>
          <cell r="J118">
            <v>1</v>
          </cell>
          <cell r="K118">
            <v>2</v>
          </cell>
          <cell r="L118">
            <v>2</v>
          </cell>
          <cell r="M118" t="str">
            <v>NO</v>
          </cell>
          <cell r="N118">
            <v>40</v>
          </cell>
          <cell r="O118">
            <v>66</v>
          </cell>
          <cell r="P118">
            <v>138</v>
          </cell>
          <cell r="Q118">
            <v>120</v>
          </cell>
          <cell r="R118">
            <v>198</v>
          </cell>
          <cell r="S118">
            <v>414</v>
          </cell>
          <cell r="T118">
            <v>98.521656977454541</v>
          </cell>
          <cell r="U118">
            <v>98.521656977454541</v>
          </cell>
          <cell r="V118">
            <v>98.521656977454541</v>
          </cell>
          <cell r="W118">
            <v>11822.598837294545</v>
          </cell>
          <cell r="X118">
            <v>19507.288081536</v>
          </cell>
          <cell r="Y118">
            <v>31329.886918830547</v>
          </cell>
          <cell r="Z118">
            <v>40787.965988666183</v>
          </cell>
          <cell r="AA118">
            <v>98.521656977454541</v>
          </cell>
          <cell r="AB118">
            <v>23.057832511738386</v>
          </cell>
          <cell r="AC118">
            <v>2</v>
          </cell>
          <cell r="AD118">
            <v>14.204547479352867</v>
          </cell>
          <cell r="AE118">
            <v>25.739935101515691</v>
          </cell>
          <cell r="AF118">
            <v>5.1636088562607201</v>
          </cell>
          <cell r="AG118">
            <v>7.2979005168484843</v>
          </cell>
          <cell r="AH118" t="str">
            <v>Electricidad</v>
          </cell>
          <cell r="AI118">
            <v>98.521656977454541</v>
          </cell>
          <cell r="AJ118">
            <v>2</v>
          </cell>
          <cell r="AK118">
            <v>49.26082848872727</v>
          </cell>
        </row>
        <row r="119">
          <cell r="A119" t="str">
            <v>P074</v>
          </cell>
          <cell r="B119" t="str">
            <v>PREV</v>
          </cell>
          <cell r="C119" t="str">
            <v>PEOMMIM0100MMVAL05</v>
          </cell>
          <cell r="D119" t="str">
            <v>VENTANILLA Y MALACAS</v>
          </cell>
          <cell r="E119" t="str">
            <v>REACONDICIONAR VALVULA</v>
          </cell>
          <cell r="F119" t="str">
            <v>REACONDICIONAR VOLANTE Y VASTAGO, RETOQUE DE PINTURA</v>
          </cell>
          <cell r="G119" t="str">
            <v>MMIM0100</v>
          </cell>
          <cell r="H119" t="str">
            <v>NUM</v>
          </cell>
          <cell r="I119">
            <v>1</v>
          </cell>
          <cell r="J119">
            <v>2</v>
          </cell>
          <cell r="K119">
            <v>2</v>
          </cell>
          <cell r="L119">
            <v>4</v>
          </cell>
          <cell r="M119" t="str">
            <v>NO</v>
          </cell>
          <cell r="N119">
            <v>12</v>
          </cell>
          <cell r="O119">
            <v>0</v>
          </cell>
          <cell r="P119">
            <v>20</v>
          </cell>
          <cell r="Q119">
            <v>36</v>
          </cell>
          <cell r="R119">
            <v>0</v>
          </cell>
          <cell r="S119">
            <v>60</v>
          </cell>
          <cell r="T119">
            <v>171.27031766132998</v>
          </cell>
          <cell r="U119"/>
          <cell r="V119">
            <v>171.27031766132998</v>
          </cell>
          <cell r="W119">
            <v>6165.7314358078793</v>
          </cell>
          <cell r="X119">
            <v>0</v>
          </cell>
          <cell r="Y119">
            <v>6165.7314358078793</v>
          </cell>
          <cell r="Z119">
            <v>10276.219059679799</v>
          </cell>
          <cell r="AA119">
            <v>171.27031766132998</v>
          </cell>
          <cell r="AB119">
            <v>19.171538486527368</v>
          </cell>
          <cell r="AC119">
            <v>4</v>
          </cell>
          <cell r="AD119">
            <v>27.951240855760062</v>
          </cell>
          <cell r="AE119">
            <v>44.969800919068597</v>
          </cell>
          <cell r="AF119">
            <v>8.9764317432562883</v>
          </cell>
          <cell r="AG119">
            <v>12.686690197135555</v>
          </cell>
          <cell r="AH119" t="str">
            <v>Mecánica</v>
          </cell>
          <cell r="AI119">
            <v>171.27031766132998</v>
          </cell>
          <cell r="AJ119">
            <v>4</v>
          </cell>
          <cell r="AK119">
            <v>42.817579415332496</v>
          </cell>
        </row>
        <row r="120">
          <cell r="A120" t="str">
            <v>P075</v>
          </cell>
          <cell r="B120" t="str">
            <v>PREV</v>
          </cell>
          <cell r="C120" t="str">
            <v>PEOMMIM0100MMVEN01</v>
          </cell>
          <cell r="D120" t="str">
            <v>VENTANILLA Y MALACAS</v>
          </cell>
          <cell r="E120" t="str">
            <v>REACONDICIONAR VENTILADOR</v>
          </cell>
          <cell r="F120" t="str">
            <v>REACONDICIONAR PALETAS, ESTRUCTURA INTERIOR, VERIFICAR ANGULOS, RETOQUE DE PINTURA</v>
          </cell>
          <cell r="G120" t="str">
            <v>MMIM0100</v>
          </cell>
          <cell r="H120" t="str">
            <v>NUM</v>
          </cell>
          <cell r="I120">
            <v>1</v>
          </cell>
          <cell r="J120">
            <v>40</v>
          </cell>
          <cell r="K120">
            <v>4</v>
          </cell>
          <cell r="L120">
            <v>160</v>
          </cell>
          <cell r="M120" t="str">
            <v>SI</v>
          </cell>
          <cell r="N120">
            <v>12</v>
          </cell>
          <cell r="O120">
            <v>0</v>
          </cell>
          <cell r="P120">
            <v>12</v>
          </cell>
          <cell r="Q120">
            <v>36</v>
          </cell>
          <cell r="R120">
            <v>0</v>
          </cell>
          <cell r="S120">
            <v>36</v>
          </cell>
          <cell r="T120">
            <v>7034.5982919051785</v>
          </cell>
          <cell r="U120"/>
          <cell r="V120">
            <v>7034.5982919051785</v>
          </cell>
          <cell r="W120">
            <v>253245.53850858641</v>
          </cell>
          <cell r="X120">
            <v>0</v>
          </cell>
          <cell r="Y120">
            <v>253245.53850858641</v>
          </cell>
          <cell r="Z120">
            <v>253245.53850858641</v>
          </cell>
          <cell r="AA120">
            <v>7034.5982919051785</v>
          </cell>
          <cell r="AB120">
            <v>19.171538486527368</v>
          </cell>
          <cell r="AC120">
            <v>160</v>
          </cell>
          <cell r="AD120">
            <v>1094.3390352656668</v>
          </cell>
          <cell r="AE120">
            <v>1983.0421058986701</v>
          </cell>
          <cell r="AF120">
            <v>368.68963794052297</v>
          </cell>
          <cell r="AG120">
            <v>521.08135495593922</v>
          </cell>
          <cell r="AH120" t="str">
            <v>Mecánica</v>
          </cell>
          <cell r="AI120">
            <v>7034.5982919051785</v>
          </cell>
          <cell r="AJ120">
            <v>160</v>
          </cell>
          <cell r="AK120">
            <v>43.966239324407368</v>
          </cell>
        </row>
        <row r="121">
          <cell r="A121" t="str">
            <v>P071</v>
          </cell>
          <cell r="B121" t="str">
            <v>PREV</v>
          </cell>
          <cell r="C121" t="str">
            <v>PEOMMIM0100MMNDT02</v>
          </cell>
          <cell r="D121" t="str">
            <v>VENTANILLA</v>
          </cell>
          <cell r="E121" t="str">
            <v>LIMPIEZA MANIFOLD Y NDT</v>
          </cell>
          <cell r="F121" t="str">
            <v xml:space="preserve">REACONDICIONAMIENTO, LIMPIEZA, LAVADO, TOMA DE MEDIDAS
INSPECCION POR TINTES </v>
          </cell>
          <cell r="G121" t="str">
            <v>MMIM0100</v>
          </cell>
          <cell r="H121" t="str">
            <v>NUM</v>
          </cell>
          <cell r="I121">
            <v>1</v>
          </cell>
          <cell r="J121">
            <v>6</v>
          </cell>
          <cell r="K121">
            <v>3</v>
          </cell>
          <cell r="L121">
            <v>18</v>
          </cell>
          <cell r="M121" t="str">
            <v>SI</v>
          </cell>
          <cell r="N121">
            <v>2</v>
          </cell>
          <cell r="O121">
            <v>0</v>
          </cell>
          <cell r="P121">
            <v>0</v>
          </cell>
          <cell r="Q121">
            <v>6</v>
          </cell>
          <cell r="R121">
            <v>0</v>
          </cell>
          <cell r="S121">
            <v>0</v>
          </cell>
          <cell r="T121">
            <v>909.43408956710232</v>
          </cell>
          <cell r="U121"/>
          <cell r="V121">
            <v>0</v>
          </cell>
          <cell r="W121">
            <v>5456.6045374026144</v>
          </cell>
          <cell r="X121">
            <v>0</v>
          </cell>
          <cell r="Y121">
            <v>5456.6045374026144</v>
          </cell>
          <cell r="Z121">
            <v>0</v>
          </cell>
          <cell r="AA121">
            <v>909.43408956710232</v>
          </cell>
          <cell r="AB121">
            <v>24.116438023744291</v>
          </cell>
          <cell r="AC121">
            <v>18</v>
          </cell>
          <cell r="AD121">
            <v>128.12829827288434</v>
          </cell>
          <cell r="AE121">
            <v>232.18015829124744</v>
          </cell>
          <cell r="AF121">
            <v>47.664260459491729</v>
          </cell>
          <cell r="AG121">
            <v>67.36548811608165</v>
          </cell>
          <cell r="AH121" t="str">
            <v>Mecánica</v>
          </cell>
          <cell r="AI121">
            <v>909.43408956710232</v>
          </cell>
          <cell r="AJ121">
            <v>18</v>
          </cell>
          <cell r="AK121">
            <v>50.524116087061238</v>
          </cell>
        </row>
        <row r="122">
          <cell r="A122" t="str">
            <v>C371</v>
          </cell>
          <cell r="B122" t="str">
            <v>COND</v>
          </cell>
          <cell r="C122" t="str">
            <v>PEOLEII09MEPRUEB05</v>
          </cell>
          <cell r="D122" t="str">
            <v>SANTA ROSA Y MALACAS</v>
          </cell>
          <cell r="E122" t="str">
            <v>Prueba de Lazo señal de control</v>
          </cell>
          <cell r="F122" t="str">
            <v>Pruebas y generación de señales de control e indicación, verificación de valores en patrones y en el sistema de control</v>
          </cell>
          <cell r="G122"/>
          <cell r="H122" t="str">
            <v>NUM</v>
          </cell>
          <cell r="I122">
            <v>1</v>
          </cell>
          <cell r="J122">
            <v>2</v>
          </cell>
          <cell r="K122">
            <v>2</v>
          </cell>
          <cell r="L122">
            <v>4</v>
          </cell>
          <cell r="M122" t="str">
            <v>Si</v>
          </cell>
          <cell r="N122">
            <v>0</v>
          </cell>
          <cell r="O122">
            <v>5</v>
          </cell>
          <cell r="P122">
            <v>1</v>
          </cell>
          <cell r="Q122">
            <v>0</v>
          </cell>
          <cell r="R122">
            <v>15</v>
          </cell>
          <cell r="S122">
            <v>3</v>
          </cell>
          <cell r="T122"/>
          <cell r="U122">
            <v>189.3865392617592</v>
          </cell>
          <cell r="V122">
            <v>189.3865392617592</v>
          </cell>
          <cell r="W122">
            <v>0</v>
          </cell>
          <cell r="X122">
            <v>2840.7980889263881</v>
          </cell>
          <cell r="Y122">
            <v>2840.7980889263881</v>
          </cell>
          <cell r="Z122">
            <v>568.15961778527753</v>
          </cell>
          <cell r="AA122">
            <v>189.3865392617592</v>
          </cell>
          <cell r="AB122">
            <v>23.466564118731693</v>
          </cell>
          <cell r="AC122">
            <v>4</v>
          </cell>
          <cell r="AD122">
            <v>27.431738981289932</v>
          </cell>
          <cell r="AE122">
            <v>44.133992019114508</v>
          </cell>
          <cell r="AF122">
            <v>9.9259192485198735</v>
          </cell>
          <cell r="AG122">
            <v>14.028632537908088</v>
          </cell>
          <cell r="AH122" t="e">
            <v>#N/A</v>
          </cell>
          <cell r="AI122">
            <v>189.3865392617592</v>
          </cell>
          <cell r="AJ122">
            <v>4</v>
          </cell>
          <cell r="AK122">
            <v>47.346634815439799</v>
          </cell>
        </row>
        <row r="123">
          <cell r="A123" t="str">
            <v>C354</v>
          </cell>
          <cell r="B123" t="str">
            <v>COND</v>
          </cell>
          <cell r="C123" t="str">
            <v>PEOLEII09MEPRUEB02</v>
          </cell>
          <cell r="D123" t="str">
            <v>VENTANILLA</v>
          </cell>
          <cell r="E123" t="str">
            <v>PRUEBAS ELECTRICAS A TRAFOS MT</v>
          </cell>
          <cell r="F123" t="str">
            <v xml:space="preserve">PRUEBAS DE AISLAMIENTO Y RESISTENCIA DE BOBINADOS AT /BT A TRANSFORMADORES </v>
          </cell>
          <cell r="G123" t="str">
            <v>LEII0900</v>
          </cell>
          <cell r="H123" t="str">
            <v>NUM</v>
          </cell>
          <cell r="I123">
            <v>1</v>
          </cell>
          <cell r="J123">
            <v>1</v>
          </cell>
          <cell r="K123">
            <v>3</v>
          </cell>
          <cell r="L123">
            <v>3</v>
          </cell>
          <cell r="M123" t="str">
            <v>NO</v>
          </cell>
          <cell r="N123">
            <v>6</v>
          </cell>
          <cell r="O123">
            <v>0</v>
          </cell>
          <cell r="P123">
            <v>0</v>
          </cell>
          <cell r="Q123">
            <v>18</v>
          </cell>
          <cell r="R123">
            <v>0</v>
          </cell>
          <cell r="S123">
            <v>0</v>
          </cell>
          <cell r="T123">
            <v>140.84253093103047</v>
          </cell>
          <cell r="U123"/>
          <cell r="V123">
            <v>0</v>
          </cell>
          <cell r="W123">
            <v>2535.1655567585485</v>
          </cell>
          <cell r="X123">
            <v>0</v>
          </cell>
          <cell r="Y123">
            <v>2535.1655567585485</v>
          </cell>
          <cell r="Z123">
            <v>0</v>
          </cell>
          <cell r="AA123">
            <v>140.84253093103047</v>
          </cell>
          <cell r="AB123">
            <v>22.522865491628611</v>
          </cell>
          <cell r="AC123">
            <v>3</v>
          </cell>
          <cell r="AD123">
            <v>21.258075536036699</v>
          </cell>
          <cell r="AE123">
            <v>34.201394840082415</v>
          </cell>
          <cell r="AF123">
            <v>7.3816840110602966</v>
          </cell>
          <cell r="AG123">
            <v>10.432780068965219</v>
          </cell>
          <cell r="AH123" t="e">
            <v>#N/A</v>
          </cell>
          <cell r="AI123">
            <v>140.84253093103047</v>
          </cell>
          <cell r="AJ123">
            <v>3</v>
          </cell>
          <cell r="AK123">
            <v>46.947510310343489</v>
          </cell>
        </row>
        <row r="124">
          <cell r="A124" t="str">
            <v>C346</v>
          </cell>
          <cell r="B124" t="str">
            <v>COND</v>
          </cell>
          <cell r="C124" t="str">
            <v>PEOLEII09MEPREP001</v>
          </cell>
          <cell r="D124" t="str">
            <v>VENTANILLA</v>
          </cell>
          <cell r="E124" t="str">
            <v>PREPARACION CABLE MOTOR SUMERGIBLE POZO SUM AGUA</v>
          </cell>
          <cell r="F124" t="str">
            <v>PREPARACION Y PRENSADO DE CONECTORES CABLES MOTORES SUMERGIBLES DE RESERVA</v>
          </cell>
          <cell r="G124" t="str">
            <v>LEII0900</v>
          </cell>
          <cell r="H124" t="str">
            <v>NUM</v>
          </cell>
          <cell r="I124">
            <v>1</v>
          </cell>
          <cell r="J124">
            <v>1</v>
          </cell>
          <cell r="K124">
            <v>2</v>
          </cell>
          <cell r="L124">
            <v>2</v>
          </cell>
          <cell r="M124" t="str">
            <v>NO</v>
          </cell>
          <cell r="N124">
            <v>3</v>
          </cell>
          <cell r="O124">
            <v>0</v>
          </cell>
          <cell r="P124">
            <v>0</v>
          </cell>
          <cell r="Q124">
            <v>9</v>
          </cell>
          <cell r="R124">
            <v>0</v>
          </cell>
          <cell r="S124">
            <v>0</v>
          </cell>
          <cell r="T124">
            <v>98.900436165141556</v>
          </cell>
          <cell r="U124"/>
          <cell r="V124">
            <v>0</v>
          </cell>
          <cell r="W124">
            <v>890.10392548627397</v>
          </cell>
          <cell r="X124">
            <v>0</v>
          </cell>
          <cell r="Y124">
            <v>890.10392548627397</v>
          </cell>
          <cell r="Z124">
            <v>0</v>
          </cell>
          <cell r="AA124">
            <v>98.900436165141556</v>
          </cell>
          <cell r="AB124">
            <v>24.651405043854062</v>
          </cell>
          <cell r="AC124">
            <v>2</v>
          </cell>
          <cell r="AD124">
            <v>14.216217661285027</v>
          </cell>
          <cell r="AE124">
            <v>22.871989166748943</v>
          </cell>
          <cell r="AF124">
            <v>5.1834610149445259</v>
          </cell>
          <cell r="AG124">
            <v>7.3259582344549301</v>
          </cell>
          <cell r="AH124" t="e">
            <v>#N/A</v>
          </cell>
          <cell r="AI124">
            <v>98.900436165141556</v>
          </cell>
          <cell r="AJ124">
            <v>2</v>
          </cell>
          <cell r="AK124">
            <v>49.450218082570778</v>
          </cell>
        </row>
        <row r="125">
          <cell r="A125" t="str">
            <v>P076</v>
          </cell>
          <cell r="B125" t="str">
            <v>PREV</v>
          </cell>
          <cell r="C125" t="str">
            <v>PEOMMIM0100MMVEN02</v>
          </cell>
          <cell r="D125" t="str">
            <v>SANTA ROSA Y MALACAS</v>
          </cell>
          <cell r="E125" t="str">
            <v>REVISION PALETAS Y SOPORTES VENTILADOR</v>
          </cell>
          <cell r="F125" t="str">
            <v>PREPARACION DEL AREA, INSTALACION DE ACCESO, RETIRO DE ELEMENTOS DE PROTECCION PARA ACCEDER A LAS PALETAS (PREVIO BLOQUEO), TOMA DE MEDIDAS DE ANGULOS DE ATAQUE, CORREGIR SI REQUIERE, LIMPIEZA DE PALETAS Y ESTRUCTURA, LIMPIEZA DE EJE DE TRANSMISION, LIMPIEZA DE ELEMENTO DE PROTECCION, REGISTRO FOTOGRAFICO, NORMALIZACION Y PRUEBAS</v>
          </cell>
          <cell r="G125" t="str">
            <v>MMIM0100</v>
          </cell>
          <cell r="H125" t="str">
            <v>NUM</v>
          </cell>
          <cell r="I125">
            <v>1</v>
          </cell>
          <cell r="J125">
            <v>4</v>
          </cell>
          <cell r="K125">
            <v>3</v>
          </cell>
          <cell r="L125">
            <v>12</v>
          </cell>
          <cell r="M125" t="str">
            <v>SI</v>
          </cell>
          <cell r="N125">
            <v>0</v>
          </cell>
          <cell r="O125">
            <v>8</v>
          </cell>
          <cell r="P125">
            <v>12</v>
          </cell>
          <cell r="Q125">
            <v>0</v>
          </cell>
          <cell r="R125">
            <v>24</v>
          </cell>
          <cell r="S125">
            <v>36</v>
          </cell>
          <cell r="T125"/>
          <cell r="U125">
            <v>562.84083636551065</v>
          </cell>
          <cell r="V125">
            <v>562.84083636551065</v>
          </cell>
          <cell r="W125">
            <v>0</v>
          </cell>
          <cell r="X125">
            <v>13508.180072772255</v>
          </cell>
          <cell r="Y125">
            <v>13508.180072772255</v>
          </cell>
          <cell r="Z125">
            <v>20262.270109158384</v>
          </cell>
          <cell r="AA125">
            <v>562.84083636551065</v>
          </cell>
          <cell r="AB125">
            <v>21.533127692412709</v>
          </cell>
          <cell r="AC125">
            <v>12</v>
          </cell>
          <cell r="AD125">
            <v>82.946241888570782</v>
          </cell>
          <cell r="AE125">
            <v>150.30615274649369</v>
          </cell>
          <cell r="AF125">
            <v>29.498995616641018</v>
          </cell>
          <cell r="AG125">
            <v>41.691913804852639</v>
          </cell>
          <cell r="AH125" t="str">
            <v>Mecánica</v>
          </cell>
          <cell r="AI125">
            <v>562.84083636551065</v>
          </cell>
          <cell r="AJ125">
            <v>12</v>
          </cell>
          <cell r="AK125">
            <v>46.903403030459224</v>
          </cell>
        </row>
        <row r="126">
          <cell r="A126" t="str">
            <v>P072</v>
          </cell>
          <cell r="B126" t="str">
            <v>PREV</v>
          </cell>
          <cell r="C126" t="str">
            <v>PEOMMIM0100MMRAD01</v>
          </cell>
          <cell r="D126" t="str">
            <v>SANTA ROSA Y MALACAS</v>
          </cell>
          <cell r="E126" t="str">
            <v>LIMPIEZA RADIADOR</v>
          </cell>
          <cell r="F126" t="str">
            <v xml:space="preserve">PREPARACION DEL AREA, AISLAR EQUIPOS CERCANOS CON PLASTICO, PREPARAR ZONA INFERIOR PARA EL DRENAJE DE AGUA CON DETERGENTE, PREPARACION DE ACCESOS, INSPECCION PRELIMINAR, LIMPIEZA DE RADIADOR CON CHORRO DE AGUA A PRESION Y NORMALIZACION </v>
          </cell>
          <cell r="G126" t="str">
            <v>MMIM0100</v>
          </cell>
          <cell r="H126" t="str">
            <v>NUM</v>
          </cell>
          <cell r="I126">
            <v>1</v>
          </cell>
          <cell r="J126">
            <v>10</v>
          </cell>
          <cell r="K126">
            <v>3</v>
          </cell>
          <cell r="L126">
            <v>30</v>
          </cell>
          <cell r="M126" t="str">
            <v>SI</v>
          </cell>
          <cell r="N126">
            <v>0</v>
          </cell>
          <cell r="O126">
            <v>10</v>
          </cell>
          <cell r="P126">
            <v>4</v>
          </cell>
          <cell r="Q126">
            <v>0</v>
          </cell>
          <cell r="R126">
            <v>30</v>
          </cell>
          <cell r="S126">
            <v>12</v>
          </cell>
          <cell r="T126"/>
          <cell r="U126">
            <v>1272.9744990787649</v>
          </cell>
          <cell r="V126">
            <v>1272.9744990787649</v>
          </cell>
          <cell r="W126">
            <v>0</v>
          </cell>
          <cell r="X126">
            <v>38189.234972362945</v>
          </cell>
          <cell r="Y126">
            <v>38189.234972362945</v>
          </cell>
          <cell r="Z126">
            <v>15275.693988945179</v>
          </cell>
          <cell r="AA126">
            <v>1272.9744990787649</v>
          </cell>
          <cell r="AB126">
            <v>17.879883320861577</v>
          </cell>
          <cell r="AC126">
            <v>30</v>
          </cell>
          <cell r="AD126">
            <v>204.67538770825081</v>
          </cell>
          <cell r="AE126">
            <v>370.89046336363498</v>
          </cell>
          <cell r="AF126">
            <v>66.717741041863988</v>
          </cell>
          <cell r="AG126">
            <v>94.294407339167776</v>
          </cell>
          <cell r="AH126" t="str">
            <v>Mecánica</v>
          </cell>
          <cell r="AI126">
            <v>1272.9744990787649</v>
          </cell>
          <cell r="AJ126">
            <v>30</v>
          </cell>
          <cell r="AK126">
            <v>42.432483302625499</v>
          </cell>
        </row>
        <row r="127">
          <cell r="A127" t="str">
            <v>C363</v>
          </cell>
          <cell r="B127" t="str">
            <v>COND</v>
          </cell>
          <cell r="C127" t="str">
            <v>PEOMMIM01MMPREP001</v>
          </cell>
          <cell r="D127" t="str">
            <v>VENTANILLA</v>
          </cell>
          <cell r="E127" t="str">
            <v>PREPARACION DE HIPOCLORITO PARA EL PTAR</v>
          </cell>
          <cell r="F127" t="str">
            <v>PREPARACION DE HIPOCLORITO PARA EL PTAR
• Retiro de 95 litros de hipoclorito de sodio del tanque #02 del cuarto quimico.
• Traslado al PTAR y adicionar 45 litros de agua de pozo.
• Trasiego de la mezcla al envase de dosificacion del PTAR.
• Cebado de la bomba dosificadora.</v>
          </cell>
          <cell r="G127" t="str">
            <v>MMIM0100</v>
          </cell>
          <cell r="H127" t="str">
            <v>NUM</v>
          </cell>
          <cell r="I127">
            <v>1</v>
          </cell>
          <cell r="J127">
            <v>4</v>
          </cell>
          <cell r="K127">
            <v>2</v>
          </cell>
          <cell r="L127">
            <v>8</v>
          </cell>
          <cell r="M127" t="str">
            <v>NO</v>
          </cell>
          <cell r="N127">
            <v>24</v>
          </cell>
          <cell r="O127">
            <v>0</v>
          </cell>
          <cell r="P127">
            <v>0</v>
          </cell>
          <cell r="Q127">
            <v>72</v>
          </cell>
          <cell r="R127">
            <v>0</v>
          </cell>
          <cell r="S127">
            <v>0</v>
          </cell>
          <cell r="T127">
            <v>344.0565258387669</v>
          </cell>
          <cell r="U127"/>
          <cell r="V127">
            <v>0</v>
          </cell>
          <cell r="W127">
            <v>24772.069860391217</v>
          </cell>
          <cell r="X127">
            <v>0</v>
          </cell>
          <cell r="Y127">
            <v>24772.069860391217</v>
          </cell>
          <cell r="Z127">
            <v>0</v>
          </cell>
          <cell r="AA127">
            <v>344.0565258387669</v>
          </cell>
          <cell r="AB127">
            <v>19.171538486527368</v>
          </cell>
          <cell r="AC127">
            <v>8</v>
          </cell>
          <cell r="AD127">
            <v>56.410040606459859</v>
          </cell>
          <cell r="AE127">
            <v>90.756196084450906</v>
          </cell>
          <cell r="AF127">
            <v>18.032312674987782</v>
          </cell>
          <cell r="AG127">
            <v>25.485668580649399</v>
          </cell>
          <cell r="AH127" t="e">
            <v>#N/A</v>
          </cell>
          <cell r="AI127">
            <v>344.0565258387669</v>
          </cell>
          <cell r="AJ127">
            <v>8</v>
          </cell>
          <cell r="AK127">
            <v>43.007065729845863</v>
          </cell>
        </row>
        <row r="128">
          <cell r="A128" t="str">
            <v>C352</v>
          </cell>
          <cell r="B128" t="str">
            <v>COND</v>
          </cell>
          <cell r="C128" t="str">
            <v>PEOLEII09MEADEC002</v>
          </cell>
          <cell r="D128" t="str">
            <v>VENTANILLA</v>
          </cell>
          <cell r="E128" t="str">
            <v>ADECUACION CONEXIONES BOMBAS SUMERG. PORTATILES</v>
          </cell>
          <cell r="F128" t="str">
            <v>PREPARACION DE CONEXIÓN DE FUERZA Y CONTROL</v>
          </cell>
          <cell r="G128" t="str">
            <v>LEII0900</v>
          </cell>
          <cell r="H128" t="str">
            <v>NUM</v>
          </cell>
          <cell r="I128">
            <v>1</v>
          </cell>
          <cell r="J128">
            <v>1</v>
          </cell>
          <cell r="K128">
            <v>2</v>
          </cell>
          <cell r="L128">
            <v>2</v>
          </cell>
          <cell r="M128" t="str">
            <v>NO</v>
          </cell>
          <cell r="N128">
            <v>1</v>
          </cell>
          <cell r="O128">
            <v>0</v>
          </cell>
          <cell r="P128">
            <v>0</v>
          </cell>
          <cell r="Q128">
            <v>3</v>
          </cell>
          <cell r="R128">
            <v>0</v>
          </cell>
          <cell r="S128">
            <v>0</v>
          </cell>
          <cell r="T128">
            <v>95.153034471276996</v>
          </cell>
          <cell r="U128"/>
          <cell r="V128">
            <v>0</v>
          </cell>
          <cell r="W128">
            <v>285.45910341383097</v>
          </cell>
          <cell r="X128">
            <v>0</v>
          </cell>
          <cell r="Y128">
            <v>285.45910341383097</v>
          </cell>
          <cell r="Z128">
            <v>0</v>
          </cell>
          <cell r="AA128">
            <v>95.153034471276996</v>
          </cell>
          <cell r="AB128">
            <v>23.057832511738386</v>
          </cell>
          <cell r="AC128">
            <v>2</v>
          </cell>
          <cell r="AD128">
            <v>14.183150950223752</v>
          </cell>
          <cell r="AE128">
            <v>22.818789259769947</v>
          </cell>
          <cell r="AF128">
            <v>4.9870563140082282</v>
          </cell>
          <cell r="AG128">
            <v>7.0483729237982962</v>
          </cell>
          <cell r="AH128" t="e">
            <v>#N/A</v>
          </cell>
          <cell r="AI128">
            <v>95.153034471276996</v>
          </cell>
          <cell r="AJ128">
            <v>2</v>
          </cell>
          <cell r="AK128">
            <v>47.576517235638498</v>
          </cell>
        </row>
        <row r="129">
          <cell r="A129" t="str">
            <v>C365</v>
          </cell>
          <cell r="B129" t="str">
            <v>COND</v>
          </cell>
          <cell r="C129" t="str">
            <v>PEOMMIM01MMPREP002</v>
          </cell>
          <cell r="D129" t="str">
            <v>VENTANILLA</v>
          </cell>
          <cell r="E129" t="str">
            <v>PREPARACIÓN DE SOLUCIÓN ANTI-INCRUSTANTE PARA EL SISTEMA BLOWDOWN (PURGA DE CALDERAS)</v>
          </cell>
          <cell r="F129" t="str">
            <v xml:space="preserve">PREPARACION DE ANTI-INCRUSTANTE BLOW DOWN 
Alcances:
• Gestión y procura de recursos, MEH
• Instalación de manguera para llenado de agua demi
• Instalación de bomba eléctrica en cilindro de Depositrol
• Trasiego de Depositrol- 01 cilindro
•  Llenado de agua en proporción de 1a 3.
•  Traslado de cilindros 
•  Limpieza de la zona de trabajo </v>
          </cell>
          <cell r="G129" t="str">
            <v>MMIM0100</v>
          </cell>
          <cell r="H129" t="str">
            <v>NUM</v>
          </cell>
          <cell r="I129">
            <v>1</v>
          </cell>
          <cell r="J129">
            <v>3</v>
          </cell>
          <cell r="K129">
            <v>2</v>
          </cell>
          <cell r="L129">
            <v>6</v>
          </cell>
          <cell r="M129" t="str">
            <v>NO</v>
          </cell>
          <cell r="N129">
            <v>24</v>
          </cell>
          <cell r="O129">
            <v>0</v>
          </cell>
          <cell r="P129">
            <v>0</v>
          </cell>
          <cell r="Q129">
            <v>72</v>
          </cell>
          <cell r="R129">
            <v>0</v>
          </cell>
          <cell r="S129">
            <v>0</v>
          </cell>
          <cell r="T129">
            <v>268.25982395778789</v>
          </cell>
          <cell r="U129"/>
          <cell r="V129">
            <v>0</v>
          </cell>
          <cell r="W129">
            <v>19314.707324960727</v>
          </cell>
          <cell r="X129">
            <v>0</v>
          </cell>
          <cell r="Y129">
            <v>19314.707324960727</v>
          </cell>
          <cell r="Z129">
            <v>0</v>
          </cell>
          <cell r="AA129">
            <v>268.25982395778789</v>
          </cell>
          <cell r="AB129">
            <v>19.171538486527368</v>
          </cell>
          <cell r="AC129">
            <v>6</v>
          </cell>
          <cell r="AD129">
            <v>42.423857703756305</v>
          </cell>
          <cell r="AE129">
            <v>76.875898062778191</v>
          </cell>
          <cell r="AF129">
            <v>14.059739201141921</v>
          </cell>
          <cell r="AG129">
            <v>19.871098070947252</v>
          </cell>
          <cell r="AH129" t="e">
            <v>#N/A</v>
          </cell>
          <cell r="AI129">
            <v>268.25982395778789</v>
          </cell>
          <cell r="AJ129">
            <v>6</v>
          </cell>
          <cell r="AK129">
            <v>44.709970659631317</v>
          </cell>
        </row>
        <row r="130">
          <cell r="A130" t="str">
            <v>C317</v>
          </cell>
          <cell r="B130" t="str">
            <v>COND</v>
          </cell>
          <cell r="C130" t="str">
            <v>WWOMMIM01062200400</v>
          </cell>
          <cell r="D130" t="str">
            <v>VENTANILLA, SANTA ROSA Y MALACAS</v>
          </cell>
          <cell r="E130" t="str">
            <v>PINTURA SOBRE MAQUINARIA Y EQUIPOS</v>
          </cell>
          <cell r="F130" t="str">
            <v>PINTURA SOBRE MAQUINARIA Y EQUIPOS (BOMBAS, COMPRESORES, MOTORES, VENTILADORES; ETC) (KG. DE PINTURA)</v>
          </cell>
          <cell r="G130" t="str">
            <v>MMIM0100</v>
          </cell>
          <cell r="H130" t="str">
            <v>M2</v>
          </cell>
          <cell r="I130">
            <v>1</v>
          </cell>
          <cell r="J130">
            <v>1</v>
          </cell>
          <cell r="K130">
            <v>1</v>
          </cell>
          <cell r="L130">
            <v>1</v>
          </cell>
          <cell r="M130">
            <v>0</v>
          </cell>
          <cell r="N130">
            <v>120</v>
          </cell>
          <cell r="O130">
            <v>90</v>
          </cell>
          <cell r="P130">
            <v>90</v>
          </cell>
          <cell r="Q130">
            <v>360</v>
          </cell>
          <cell r="R130">
            <v>270</v>
          </cell>
          <cell r="S130">
            <v>270</v>
          </cell>
          <cell r="T130">
            <v>97.135014779505653</v>
          </cell>
          <cell r="U130">
            <v>97.135014779505653</v>
          </cell>
          <cell r="V130">
            <v>97.135014779505653</v>
          </cell>
          <cell r="W130">
            <v>34968.605320622039</v>
          </cell>
          <cell r="X130">
            <v>26226.453990466525</v>
          </cell>
          <cell r="Y130">
            <v>61195.059311088567</v>
          </cell>
          <cell r="Z130">
            <v>26226.453990466525</v>
          </cell>
          <cell r="AA130">
            <v>97.135014779505653</v>
          </cell>
          <cell r="AB130">
            <v>23.046503983524737</v>
          </cell>
          <cell r="AC130">
            <v>2</v>
          </cell>
          <cell r="AD130">
            <v>13.7818742216331</v>
          </cell>
          <cell r="AE130">
            <v>24.974012622206363</v>
          </cell>
          <cell r="AF130">
            <v>5.0909336886533358</v>
          </cell>
          <cell r="AG130">
            <v>7.1951862799633819</v>
          </cell>
          <cell r="AH130" t="e">
            <v>#N/A</v>
          </cell>
          <cell r="AI130">
            <v>97.135014779505653</v>
          </cell>
          <cell r="AJ130">
            <v>1</v>
          </cell>
          <cell r="AK130">
            <v>97.135014779505653</v>
          </cell>
        </row>
        <row r="131">
          <cell r="A131" t="str">
            <v>P036</v>
          </cell>
          <cell r="B131" t="str">
            <v>PREV</v>
          </cell>
          <cell r="C131" t="str">
            <v>PEOLEII0900MEBOT01</v>
          </cell>
          <cell r="D131" t="str">
            <v>SANTA ROSA</v>
          </cell>
          <cell r="E131" t="str">
            <v>PESAJE DE BOTELLAS</v>
          </cell>
          <cell r="F131" t="str">
            <v>PESAJE DE BOTELLAS</v>
          </cell>
          <cell r="G131" t="str">
            <v>LEII0900</v>
          </cell>
          <cell r="H131" t="str">
            <v>NUM</v>
          </cell>
          <cell r="I131">
            <v>1</v>
          </cell>
          <cell r="J131">
            <v>0.25</v>
          </cell>
          <cell r="K131">
            <v>2</v>
          </cell>
          <cell r="L131">
            <v>0.5</v>
          </cell>
          <cell r="M131" t="str">
            <v>NO</v>
          </cell>
          <cell r="N131">
            <v>0</v>
          </cell>
          <cell r="O131">
            <v>12</v>
          </cell>
          <cell r="P131">
            <v>0</v>
          </cell>
          <cell r="Q131">
            <v>0</v>
          </cell>
          <cell r="R131">
            <v>36</v>
          </cell>
          <cell r="S131">
            <v>0</v>
          </cell>
          <cell r="T131"/>
          <cell r="U131">
            <v>24.02854914202106</v>
          </cell>
          <cell r="V131">
            <v>0</v>
          </cell>
          <cell r="W131">
            <v>0</v>
          </cell>
          <cell r="X131">
            <v>865.02776911275816</v>
          </cell>
          <cell r="Y131">
            <v>865.02776911275816</v>
          </cell>
          <cell r="Z131">
            <v>0</v>
          </cell>
          <cell r="AA131">
            <v>24.02854914202106</v>
          </cell>
          <cell r="AB131">
            <v>23.466564118731693</v>
          </cell>
          <cell r="AC131">
            <v>0.5</v>
          </cell>
          <cell r="AD131">
            <v>3.5479080379623658</v>
          </cell>
          <cell r="AE131">
            <v>5.7081085941646768</v>
          </cell>
          <cell r="AF131">
            <v>1.2593579214895732</v>
          </cell>
          <cell r="AG131">
            <v>1.779892529038597</v>
          </cell>
          <cell r="AH131" t="str">
            <v>Instrumentación</v>
          </cell>
          <cell r="AI131">
            <v>24.02854914202106</v>
          </cell>
          <cell r="AJ131">
            <v>0.5</v>
          </cell>
          <cell r="AK131">
            <v>48.057098284042119</v>
          </cell>
        </row>
        <row r="132">
          <cell r="A132" t="str">
            <v>L073</v>
          </cell>
          <cell r="B132" t="str">
            <v>MBO + LI</v>
          </cell>
          <cell r="C132" t="str">
            <v>PEOMMPI02LITALL001</v>
          </cell>
          <cell r="D132" t="str">
            <v>VENTANILLA, SANTA ROSA Y MALACAS</v>
          </cell>
          <cell r="E132" t="str">
            <v>LIMPIEZA MENSUAL INDUSTRIAL TALLER ENEL</v>
          </cell>
          <cell r="F132" t="str">
            <v>ORDEN Y LIMPIEZA DE TALLER (SUPERFICIES-MESAS) MANTENIMIENTO SANTA ROSA, ORGANIZACIÓN Y LIMPIEZA DE GABINETES</v>
          </cell>
          <cell r="G132" t="str">
            <v>MMPI0200</v>
          </cell>
          <cell r="H132" t="str">
            <v>NUM</v>
          </cell>
          <cell r="I132">
            <v>1</v>
          </cell>
          <cell r="J132">
            <v>3</v>
          </cell>
          <cell r="K132">
            <v>2</v>
          </cell>
          <cell r="L132">
            <v>6</v>
          </cell>
          <cell r="M132" t="str">
            <v>NO</v>
          </cell>
          <cell r="N132">
            <v>12</v>
          </cell>
          <cell r="O132">
            <v>12</v>
          </cell>
          <cell r="P132">
            <v>12</v>
          </cell>
          <cell r="Q132">
            <v>36</v>
          </cell>
          <cell r="R132">
            <v>36</v>
          </cell>
          <cell r="S132">
            <v>36</v>
          </cell>
          <cell r="T132">
            <v>183.51479999999992</v>
          </cell>
          <cell r="U132">
            <v>183.51479999999992</v>
          </cell>
          <cell r="V132">
            <v>183.51479999999992</v>
          </cell>
          <cell r="W132">
            <v>6606.5327999999972</v>
          </cell>
          <cell r="X132">
            <v>6606.5327999999972</v>
          </cell>
          <cell r="Y132">
            <v>13213.065599999994</v>
          </cell>
          <cell r="Z132">
            <v>6606.5327999999972</v>
          </cell>
          <cell r="AA132">
            <v>183.51479999999992</v>
          </cell>
          <cell r="AB132">
            <v>19.171538486527368</v>
          </cell>
          <cell r="AC132">
            <v>6</v>
          </cell>
          <cell r="AD132">
            <v>16.099657268794044</v>
          </cell>
          <cell r="AE132">
            <v>29.174046822523874</v>
          </cell>
          <cell r="AF132">
            <v>9.6181761006289275</v>
          </cell>
          <cell r="AG132">
            <v>13.593688888888883</v>
          </cell>
          <cell r="AH132" t="e">
            <v>#N/A</v>
          </cell>
          <cell r="AI132">
            <v>183.51479999999992</v>
          </cell>
          <cell r="AJ132">
            <v>6</v>
          </cell>
          <cell r="AK132">
            <v>30.585799999999988</v>
          </cell>
        </row>
        <row r="133">
          <cell r="A133" t="str">
            <v>L074</v>
          </cell>
          <cell r="B133" t="str">
            <v>MBO + LI</v>
          </cell>
          <cell r="C133" t="str">
            <v>PEOMMPI02LIHERR001</v>
          </cell>
          <cell r="D133" t="str">
            <v>VENTANILLA, SANTA ROSA Y MALACAS</v>
          </cell>
          <cell r="E133" t="str">
            <v>LIMPIEZA SEMESTRAL INDUSTRIAL ALMACEN HERRAMIENTAS ESPECIALES</v>
          </cell>
          <cell r="F133" t="str">
            <v>ORDEN Y LIMPIEZA DE ALMACEN HERRAMIENTAS</v>
          </cell>
          <cell r="G133" t="str">
            <v>MMPI0200</v>
          </cell>
          <cell r="H133" t="str">
            <v>NUM</v>
          </cell>
          <cell r="I133">
            <v>1</v>
          </cell>
          <cell r="J133">
            <v>9</v>
          </cell>
          <cell r="K133">
            <v>2</v>
          </cell>
          <cell r="L133">
            <v>18</v>
          </cell>
          <cell r="M133" t="str">
            <v>NO</v>
          </cell>
          <cell r="N133">
            <v>2</v>
          </cell>
          <cell r="O133">
            <v>2</v>
          </cell>
          <cell r="P133">
            <v>2</v>
          </cell>
          <cell r="Q133">
            <v>6</v>
          </cell>
          <cell r="R133">
            <v>6</v>
          </cell>
          <cell r="S133">
            <v>6</v>
          </cell>
          <cell r="T133">
            <v>550.54440000000011</v>
          </cell>
          <cell r="U133">
            <v>550.54440000000011</v>
          </cell>
          <cell r="V133">
            <v>550.54440000000011</v>
          </cell>
          <cell r="W133">
            <v>3303.2664000000004</v>
          </cell>
          <cell r="X133">
            <v>3303.2664000000004</v>
          </cell>
          <cell r="Y133">
            <v>6606.5328000000009</v>
          </cell>
          <cell r="Z133">
            <v>3303.2664000000004</v>
          </cell>
          <cell r="AA133">
            <v>550.54440000000011</v>
          </cell>
          <cell r="AB133">
            <v>19.171538486527368</v>
          </cell>
          <cell r="AC133">
            <v>18</v>
          </cell>
          <cell r="AD133">
            <v>52.061360206416758</v>
          </cell>
          <cell r="AE133">
            <v>83.759752067537292</v>
          </cell>
          <cell r="AF133">
            <v>28.854528301886798</v>
          </cell>
          <cell r="AG133">
            <v>40.781066666666675</v>
          </cell>
          <cell r="AH133" t="e">
            <v>#N/A</v>
          </cell>
          <cell r="AI133">
            <v>550.54440000000011</v>
          </cell>
          <cell r="AJ133">
            <v>18</v>
          </cell>
          <cell r="AK133">
            <v>30.585800000000006</v>
          </cell>
        </row>
        <row r="134">
          <cell r="A134" t="str">
            <v>P040</v>
          </cell>
          <cell r="B134" t="str">
            <v>PREV</v>
          </cell>
          <cell r="C134" t="str">
            <v>PEOLEII0900SCVAR01</v>
          </cell>
          <cell r="D134" t="str">
            <v>VENTANILLA, SANTA ROSA Y MALACAS</v>
          </cell>
          <cell r="E134" t="str">
            <v>MMTTO Y PRUEBAS VARIADORES O SOFT START</v>
          </cell>
          <cell r="F134" t="str">
            <v>MTTO DE LOS EQUIPOS VARIADORES DE VELOCIDAD O ARRANCADORES ELECTRONICOS, PRUEBAS FUNCIONALES Y TOMA DE DATOS.</v>
          </cell>
          <cell r="G134" t="str">
            <v>LEII0900</v>
          </cell>
          <cell r="H134" t="str">
            <v>NUM</v>
          </cell>
          <cell r="I134">
            <v>1</v>
          </cell>
          <cell r="J134">
            <v>4</v>
          </cell>
          <cell r="K134">
            <v>2</v>
          </cell>
          <cell r="L134">
            <v>8</v>
          </cell>
          <cell r="M134" t="str">
            <v>NO</v>
          </cell>
          <cell r="N134">
            <v>4</v>
          </cell>
          <cell r="O134">
            <v>2</v>
          </cell>
          <cell r="P134">
            <v>4</v>
          </cell>
          <cell r="Q134">
            <v>12</v>
          </cell>
          <cell r="R134">
            <v>6</v>
          </cell>
          <cell r="S134">
            <v>12</v>
          </cell>
          <cell r="T134">
            <v>387.96235779611698</v>
          </cell>
          <cell r="U134">
            <v>387.96235779611698</v>
          </cell>
          <cell r="V134">
            <v>387.96235779611698</v>
          </cell>
          <cell r="W134">
            <v>4655.5482935534037</v>
          </cell>
          <cell r="X134">
            <v>2327.7741467767019</v>
          </cell>
          <cell r="Y134">
            <v>6983.3224403301056</v>
          </cell>
          <cell r="Z134">
            <v>4655.5482935534037</v>
          </cell>
          <cell r="AA134">
            <v>387.96235779611698</v>
          </cell>
          <cell r="AB134">
            <v>23.466564118731693</v>
          </cell>
          <cell r="AC134">
            <v>8</v>
          </cell>
          <cell r="AD134">
            <v>53.753035096914516</v>
          </cell>
          <cell r="AE134">
            <v>97.405400412453631</v>
          </cell>
          <cell r="AF134">
            <v>20.333456907553302</v>
          </cell>
          <cell r="AG134">
            <v>28.737952429341998</v>
          </cell>
          <cell r="AH134" t="str">
            <v>Instrumentación</v>
          </cell>
          <cell r="AI134">
            <v>387.96235779611698</v>
          </cell>
          <cell r="AJ134">
            <v>8</v>
          </cell>
          <cell r="AK134">
            <v>48.495294724514622</v>
          </cell>
        </row>
        <row r="135">
          <cell r="A135" t="str">
            <v>C290</v>
          </cell>
          <cell r="B135" t="str">
            <v>COND</v>
          </cell>
          <cell r="C135" t="str">
            <v>WWOMMIM01061105000</v>
          </cell>
          <cell r="D135" t="str">
            <v>VENTANILLA, SANTA ROSA Y MALACAS</v>
          </cell>
          <cell r="E135" t="str">
            <v>ABRIR\CERRAR UNION BRIDADA D&lt;10 IN</v>
          </cell>
          <cell r="F135" t="str">
            <v>MONTAJE/DESMONTAJE UNION BRIDADA. INCLUYE LIMPIEZAS DE LAS SUPERFICIES, FABRICAZION JUNTAS, VERIFICACIÓN EFICIENCIA TORNILLERIA Y REMONTAJE. UTILIZADO TAMBIÉN EN CASO DE INSTALACIÓN DE BRIDA CIEGA. EN CASO DE SUSTITUCIÓN DEL COMPENSADOR, LA ACTIVIDAD SE DEBE UTILIZAR 2 VECES</v>
          </cell>
          <cell r="G135" t="str">
            <v>MMIM0100</v>
          </cell>
          <cell r="H135" t="str">
            <v>NUM</v>
          </cell>
          <cell r="I135">
            <v>1</v>
          </cell>
          <cell r="J135">
            <v>4</v>
          </cell>
          <cell r="K135">
            <v>2</v>
          </cell>
          <cell r="L135">
            <v>8</v>
          </cell>
          <cell r="M135" t="str">
            <v>NO</v>
          </cell>
          <cell r="N135">
            <v>4</v>
          </cell>
          <cell r="O135">
            <v>3</v>
          </cell>
          <cell r="P135">
            <v>3</v>
          </cell>
          <cell r="Q135">
            <v>12</v>
          </cell>
          <cell r="R135">
            <v>9</v>
          </cell>
          <cell r="S135">
            <v>9</v>
          </cell>
          <cell r="T135">
            <v>342.54063532265997</v>
          </cell>
          <cell r="U135">
            <v>342.54063532265997</v>
          </cell>
          <cell r="V135">
            <v>342.54063532265997</v>
          </cell>
          <cell r="W135">
            <v>4110.4876238719198</v>
          </cell>
          <cell r="X135">
            <v>3082.8657179039396</v>
          </cell>
          <cell r="Y135">
            <v>7193.353341775859</v>
          </cell>
          <cell r="Z135">
            <v>3082.8657179039396</v>
          </cell>
          <cell r="AA135">
            <v>342.54063532265997</v>
          </cell>
          <cell r="AB135">
            <v>19.171538486527368</v>
          </cell>
          <cell r="AC135">
            <v>8</v>
          </cell>
          <cell r="AD135">
            <v>55.902481711520124</v>
          </cell>
          <cell r="AE135">
            <v>89.939601838137193</v>
          </cell>
          <cell r="AF135">
            <v>17.952863486512577</v>
          </cell>
          <cell r="AG135">
            <v>25.373380394271109</v>
          </cell>
          <cell r="AH135" t="str">
            <v>Mecánica</v>
          </cell>
          <cell r="AI135">
            <v>342.54063532265997</v>
          </cell>
          <cell r="AJ135">
            <v>8</v>
          </cell>
          <cell r="AK135">
            <v>42.817579415332496</v>
          </cell>
        </row>
        <row r="136">
          <cell r="A136" t="str">
            <v>C291</v>
          </cell>
          <cell r="B136" t="str">
            <v>COND</v>
          </cell>
          <cell r="C136" t="str">
            <v>WWOMMIM01061104800</v>
          </cell>
          <cell r="D136" t="str">
            <v>VENTANILLA, SANTA ROSA Y MALACAS</v>
          </cell>
          <cell r="E136" t="str">
            <v>ABRIR\CERRAR UNION BRIDADA D&lt;2 IN</v>
          </cell>
          <cell r="F136" t="str">
            <v>MONTAJE/DESMONTAJE UNION BRIDADA. INCLUYE LIMPIEZAS DE LAS SUPERFICIES, FABRICAZION JUNTAS, VERIFICACIÓN EFICIENCIA TORNILLERIA Y REMONTAJE. UTILIZADO TAMBIÉN EN CASO DE INSTALACIÓN DE BRIDA CIEGA. EN CASO DE SUSTITUCIÓN DEL COMPENSADOR, LA ACTIVIDAD SE DEBE UTILIZAR 2 VECES</v>
          </cell>
          <cell r="G136" t="str">
            <v>MMIM0100</v>
          </cell>
          <cell r="H136" t="str">
            <v>NUM</v>
          </cell>
          <cell r="I136">
            <v>1</v>
          </cell>
          <cell r="J136">
            <v>2</v>
          </cell>
          <cell r="K136">
            <v>2</v>
          </cell>
          <cell r="L136">
            <v>4</v>
          </cell>
          <cell r="M136" t="str">
            <v>NO</v>
          </cell>
          <cell r="N136">
            <v>4</v>
          </cell>
          <cell r="O136">
            <v>3</v>
          </cell>
          <cell r="P136">
            <v>3</v>
          </cell>
          <cell r="Q136">
            <v>12</v>
          </cell>
          <cell r="R136">
            <v>9</v>
          </cell>
          <cell r="S136">
            <v>9</v>
          </cell>
          <cell r="T136">
            <v>171.27031766132998</v>
          </cell>
          <cell r="U136">
            <v>171.27031766132998</v>
          </cell>
          <cell r="V136">
            <v>171.27031766132998</v>
          </cell>
          <cell r="W136">
            <v>2055.2438119359599</v>
          </cell>
          <cell r="X136">
            <v>1541.4328589519698</v>
          </cell>
          <cell r="Y136">
            <v>3596.6766708879295</v>
          </cell>
          <cell r="Z136">
            <v>1541.4328589519698</v>
          </cell>
          <cell r="AA136">
            <v>171.27031766132998</v>
          </cell>
          <cell r="AB136">
            <v>19.171538486527368</v>
          </cell>
          <cell r="AC136">
            <v>4</v>
          </cell>
          <cell r="AD136">
            <v>27.951240855760062</v>
          </cell>
          <cell r="AE136">
            <v>44.969800919068597</v>
          </cell>
          <cell r="AF136">
            <v>8.9764317432562883</v>
          </cell>
          <cell r="AG136">
            <v>12.686690197135555</v>
          </cell>
          <cell r="AH136" t="str">
            <v>Mecánica</v>
          </cell>
          <cell r="AI136">
            <v>171.27031766132998</v>
          </cell>
          <cell r="AJ136">
            <v>4</v>
          </cell>
          <cell r="AK136">
            <v>42.817579415332496</v>
          </cell>
        </row>
        <row r="137">
          <cell r="A137" t="str">
            <v>C292</v>
          </cell>
          <cell r="B137" t="str">
            <v>COND</v>
          </cell>
          <cell r="C137" t="str">
            <v>WWOMMIM01061104900</v>
          </cell>
          <cell r="D137" t="str">
            <v>VENTANILLA, SANTA ROSA Y MALACAS</v>
          </cell>
          <cell r="E137" t="str">
            <v>ABRIR\CERRAR UNION BRIDADA D&lt;4 IN</v>
          </cell>
          <cell r="F137" t="str">
            <v>MONTAJE/DESMONTAJE UNION BRIDADA. INCLUYE LIMPIEZAS DE LAS SUPERFICIES, FABRICAZION JUNTAS, VERIFICACIÓN EFICIENCIA TORNILLERIA Y REMONTAJE. UTILIZADO TAMBIÉN EN CASO DE INSTALACIÓN DE BRIDA CIEGA. EN CASO DE SUSTITUCIÓN DEL COMPENSADOR, LA ACTIVIDAD SE DEBE UTILIZAR 2 VECES</v>
          </cell>
          <cell r="G137" t="str">
            <v>MMIM0100</v>
          </cell>
          <cell r="H137" t="str">
            <v>NUM</v>
          </cell>
          <cell r="I137">
            <v>1</v>
          </cell>
          <cell r="J137">
            <v>3</v>
          </cell>
          <cell r="K137">
            <v>2</v>
          </cell>
          <cell r="L137">
            <v>6</v>
          </cell>
          <cell r="M137" t="str">
            <v>NO</v>
          </cell>
          <cell r="N137">
            <v>4</v>
          </cell>
          <cell r="O137">
            <v>3</v>
          </cell>
          <cell r="P137">
            <v>3</v>
          </cell>
          <cell r="Q137">
            <v>12</v>
          </cell>
          <cell r="R137">
            <v>9</v>
          </cell>
          <cell r="S137">
            <v>9</v>
          </cell>
          <cell r="T137">
            <v>256.90547649199476</v>
          </cell>
          <cell r="U137">
            <v>256.90547649199476</v>
          </cell>
          <cell r="V137">
            <v>256.90547649199476</v>
          </cell>
          <cell r="W137">
            <v>3082.8657179039374</v>
          </cell>
          <cell r="X137">
            <v>2312.1492884279528</v>
          </cell>
          <cell r="Y137">
            <v>5395.0150063318906</v>
          </cell>
          <cell r="Z137">
            <v>2312.1492884279528</v>
          </cell>
          <cell r="AA137">
            <v>256.90547649199476</v>
          </cell>
          <cell r="AB137">
            <v>19.171538486527368</v>
          </cell>
          <cell r="AC137">
            <v>6</v>
          </cell>
          <cell r="AD137">
            <v>41.926861283640029</v>
          </cell>
          <cell r="AE137">
            <v>67.454701378602792</v>
          </cell>
          <cell r="AF137">
            <v>13.46464761488442</v>
          </cell>
          <cell r="AG137">
            <v>19.030035295703314</v>
          </cell>
          <cell r="AH137" t="str">
            <v>Mecánica</v>
          </cell>
          <cell r="AI137">
            <v>256.90547649199476</v>
          </cell>
          <cell r="AJ137">
            <v>6</v>
          </cell>
          <cell r="AK137">
            <v>42.81757941533246</v>
          </cell>
        </row>
        <row r="138">
          <cell r="A138" t="str">
            <v>C293</v>
          </cell>
          <cell r="B138" t="str">
            <v>COND</v>
          </cell>
          <cell r="C138" t="str">
            <v>WWOMMIM01061105100</v>
          </cell>
          <cell r="D138" t="str">
            <v>VENTANILLA, SANTA ROSA Y MALACAS</v>
          </cell>
          <cell r="E138" t="str">
            <v>ABRIR\CERRAR UNION BRIDADA D&gt;10 IN</v>
          </cell>
          <cell r="F138" t="str">
            <v>MONTAJE/DESMONTAJE UNION BRIDADA. INCLUYE LIMPIEZAS DE LAS SUPERFICIES, FABRICAZION JUNTAS, VERIFICACIÓN EFICIENCIA TORNILLERIA Y REMONTAJE. UTILIZADO TAMBIÉN EN CASO DE INSTALACIÓN DE BRIDA CIEGA. EN CASO DE SUSTITUCIÓN DEL COMPENSADOR, LA ACTIVIDAD SE DEBE UTILIZAR 2 VECES</v>
          </cell>
          <cell r="G138" t="str">
            <v>MMIM0100</v>
          </cell>
          <cell r="H138" t="str">
            <v>NUM</v>
          </cell>
          <cell r="I138">
            <v>1</v>
          </cell>
          <cell r="J138">
            <v>6</v>
          </cell>
          <cell r="K138">
            <v>2</v>
          </cell>
          <cell r="L138">
            <v>12</v>
          </cell>
          <cell r="M138" t="str">
            <v>NO</v>
          </cell>
          <cell r="N138">
            <v>4</v>
          </cell>
          <cell r="O138">
            <v>3</v>
          </cell>
          <cell r="P138">
            <v>3</v>
          </cell>
          <cell r="Q138">
            <v>12</v>
          </cell>
          <cell r="R138">
            <v>9</v>
          </cell>
          <cell r="S138">
            <v>9</v>
          </cell>
          <cell r="T138">
            <v>513.81095298398952</v>
          </cell>
          <cell r="U138">
            <v>513.81095298398952</v>
          </cell>
          <cell r="V138">
            <v>513.81095298398952</v>
          </cell>
          <cell r="W138">
            <v>6165.7314358078747</v>
          </cell>
          <cell r="X138">
            <v>4624.2985768559056</v>
          </cell>
          <cell r="Y138">
            <v>10790.030012663781</v>
          </cell>
          <cell r="Z138">
            <v>4624.2985768559056</v>
          </cell>
          <cell r="AA138">
            <v>513.81095298398952</v>
          </cell>
          <cell r="AB138">
            <v>19.171538486527368</v>
          </cell>
          <cell r="AC138">
            <v>12</v>
          </cell>
          <cell r="AD138">
            <v>83.853722567280059</v>
          </cell>
          <cell r="AE138">
            <v>134.90940275720561</v>
          </cell>
          <cell r="AF138">
            <v>26.929295229768844</v>
          </cell>
          <cell r="AG138">
            <v>38.060070591406635</v>
          </cell>
          <cell r="AH138" t="str">
            <v>Mecánica</v>
          </cell>
          <cell r="AI138">
            <v>513.81095298398952</v>
          </cell>
          <cell r="AJ138">
            <v>12</v>
          </cell>
          <cell r="AK138">
            <v>42.81757941533246</v>
          </cell>
        </row>
        <row r="139">
          <cell r="A139" t="str">
            <v>C368</v>
          </cell>
          <cell r="B139" t="str">
            <v>COND</v>
          </cell>
          <cell r="C139" t="str">
            <v>PEOMMIM01MEINST001</v>
          </cell>
          <cell r="D139" t="str">
            <v>VENTANILLA Y MALACAS</v>
          </cell>
          <cell r="E139" t="str">
            <v>INSTALACION DE TROLEY DE POLIPASTO EN GENERADOR</v>
          </cell>
          <cell r="F139" t="str">
            <v xml:space="preserve">MONTAJE Y DESMONTAJE DE TROLEY DE POLIPASTO EN GENERADOR </v>
          </cell>
          <cell r="G139" t="str">
            <v>MMIM0100</v>
          </cell>
          <cell r="H139" t="str">
            <v>NUM</v>
          </cell>
          <cell r="I139">
            <v>2</v>
          </cell>
          <cell r="J139">
            <v>5</v>
          </cell>
          <cell r="K139">
            <v>3</v>
          </cell>
          <cell r="L139">
            <v>30</v>
          </cell>
          <cell r="M139" t="str">
            <v>NO</v>
          </cell>
          <cell r="N139">
            <v>3</v>
          </cell>
          <cell r="O139">
            <v>0</v>
          </cell>
          <cell r="P139">
            <v>1</v>
          </cell>
          <cell r="Q139">
            <v>9</v>
          </cell>
          <cell r="R139">
            <v>0</v>
          </cell>
          <cell r="S139">
            <v>3</v>
          </cell>
          <cell r="T139">
            <v>1372.6422936415308</v>
          </cell>
          <cell r="U139"/>
          <cell r="V139">
            <v>1372.6422936415308</v>
          </cell>
          <cell r="W139">
            <v>12353.780642773778</v>
          </cell>
          <cell r="X139">
            <v>0</v>
          </cell>
          <cell r="Y139">
            <v>12353.780642773778</v>
          </cell>
          <cell r="Z139">
            <v>4117.9268809245923</v>
          </cell>
          <cell r="AA139">
            <v>1372.6422936415308</v>
          </cell>
          <cell r="AB139">
            <v>21.533127692412712</v>
          </cell>
          <cell r="AC139">
            <v>30</v>
          </cell>
          <cell r="AD139">
            <v>211.98092852607166</v>
          </cell>
          <cell r="AE139">
            <v>341.04890740449139</v>
          </cell>
          <cell r="AF139">
            <v>71.941420002176656</v>
          </cell>
          <cell r="AG139">
            <v>101.67720693640969</v>
          </cell>
          <cell r="AH139" t="e">
            <v>#N/A</v>
          </cell>
          <cell r="AI139">
            <v>1372.6422936415308</v>
          </cell>
          <cell r="AJ139">
            <v>30</v>
          </cell>
          <cell r="AK139">
            <v>45.754743121384358</v>
          </cell>
        </row>
        <row r="140">
          <cell r="A140" t="str">
            <v>C129</v>
          </cell>
          <cell r="B140" t="str">
            <v>COND</v>
          </cell>
          <cell r="C140" t="str">
            <v>WWOLEII09080706200</v>
          </cell>
          <cell r="D140" t="str">
            <v>VENTANILLA, SANTA ROSA Y MALACAS</v>
          </cell>
          <cell r="E140" t="str">
            <v>MONTAJE EQUIPO &gt;45 &lt;=200 KG</v>
          </cell>
          <cell r="F140" t="str">
            <v>MONTAJE DE EQUIPO DE DIVERSA NATURALEZA CON PESO &gt; 45 KG Y &lt;=200 KG SOBRE BASE O BANCADA EXISTENTE. INCLUYE EL TRASLADO HASTA EL EMPLAZAMIENTO, ANCLAJE Y MEDIOS DE ELEVACIÓN SI PROCEDE. MATERIAL SUMISNTRO DE LA PROPIEDAD</v>
          </cell>
          <cell r="G140" t="str">
            <v>LEII0900</v>
          </cell>
          <cell r="H140" t="str">
            <v>KG</v>
          </cell>
          <cell r="I140">
            <v>1</v>
          </cell>
          <cell r="J140">
            <v>0.08</v>
          </cell>
          <cell r="K140">
            <v>5</v>
          </cell>
          <cell r="L140">
            <v>0.4</v>
          </cell>
          <cell r="M140" t="str">
            <v>SI</v>
          </cell>
          <cell r="N140">
            <v>600</v>
          </cell>
          <cell r="O140">
            <v>450</v>
          </cell>
          <cell r="P140">
            <v>450</v>
          </cell>
          <cell r="Q140">
            <v>1800</v>
          </cell>
          <cell r="R140">
            <v>1350</v>
          </cell>
          <cell r="S140">
            <v>1350</v>
          </cell>
          <cell r="T140">
            <v>16.385257866864016</v>
          </cell>
          <cell r="U140">
            <v>16.385257866864016</v>
          </cell>
          <cell r="V140">
            <v>16.385257866864016</v>
          </cell>
          <cell r="W140">
            <v>29493.46416035523</v>
          </cell>
          <cell r="X140">
            <v>22120.098120266422</v>
          </cell>
          <cell r="Y140">
            <v>51613.562280621656</v>
          </cell>
          <cell r="Z140">
            <v>22120.098120266422</v>
          </cell>
          <cell r="AA140">
            <v>16.385257866864016</v>
          </cell>
          <cell r="AB140">
            <v>21.911471765190718</v>
          </cell>
          <cell r="AC140">
            <v>0.4</v>
          </cell>
          <cell r="AD140">
            <v>2.1266635510553193</v>
          </cell>
          <cell r="AE140">
            <v>3.4215166691996446</v>
          </cell>
          <cell r="AF140">
            <v>0.85876613557987513</v>
          </cell>
          <cell r="AG140">
            <v>1.2137228049528903</v>
          </cell>
          <cell r="AH140" t="str">
            <v>Mecánica</v>
          </cell>
          <cell r="AI140">
            <v>16.385257866864016</v>
          </cell>
          <cell r="AJ140">
            <v>0.4</v>
          </cell>
          <cell r="AK140">
            <v>40.963144667160037</v>
          </cell>
        </row>
        <row r="141">
          <cell r="A141" t="str">
            <v>C128</v>
          </cell>
          <cell r="B141" t="str">
            <v>COND</v>
          </cell>
          <cell r="C141" t="str">
            <v>WWOLEII09080706100</v>
          </cell>
          <cell r="D141" t="str">
            <v>VENTANILLA, SANTA ROSA Y MALACAS</v>
          </cell>
          <cell r="E141" t="str">
            <v>MONTAJE EQUIPO &lt;=45 KG</v>
          </cell>
          <cell r="F141" t="str">
            <v>MONTAJE DE EQUIPO DE DIVERSA NATURALEZA CON PESO &lt;=45 KG SOBRE BASE O BANCADA EXISTENTE. INCLUYE EL TRASLADO HASTA EL EMPLAZAMIENTO, ANCLAJE Y MEDIOS DE ELEVACIÓN SI PROCEDE. MATERIAL SUMISNTRO DE LA PROPIEDAD</v>
          </cell>
          <cell r="G141" t="str">
            <v>LEII0900</v>
          </cell>
          <cell r="H141" t="str">
            <v>KG</v>
          </cell>
          <cell r="I141">
            <v>1</v>
          </cell>
          <cell r="J141">
            <v>0.05</v>
          </cell>
          <cell r="K141">
            <v>4</v>
          </cell>
          <cell r="L141">
            <v>0.2</v>
          </cell>
          <cell r="M141" t="str">
            <v>SI</v>
          </cell>
          <cell r="N141">
            <v>180</v>
          </cell>
          <cell r="O141">
            <v>135</v>
          </cell>
          <cell r="P141">
            <v>135</v>
          </cell>
          <cell r="Q141">
            <v>540</v>
          </cell>
          <cell r="R141">
            <v>405</v>
          </cell>
          <cell r="S141">
            <v>405</v>
          </cell>
          <cell r="T141">
            <v>8.564309758788287</v>
          </cell>
          <cell r="U141">
            <v>8.564309758788287</v>
          </cell>
          <cell r="V141">
            <v>8.564309758788287</v>
          </cell>
          <cell r="W141">
            <v>4624.7272697456747</v>
          </cell>
          <cell r="X141">
            <v>3468.5454523092562</v>
          </cell>
          <cell r="Y141">
            <v>8093.2727220549314</v>
          </cell>
          <cell r="Z141">
            <v>3468.5454523092562</v>
          </cell>
          <cell r="AA141">
            <v>8.564309758788287</v>
          </cell>
          <cell r="AB141">
            <v>19.171538486527368</v>
          </cell>
          <cell r="AC141">
            <v>0.2</v>
          </cell>
          <cell r="AD141">
            <v>1.3978278526732091</v>
          </cell>
          <cell r="AE141">
            <v>2.2489176984387602</v>
          </cell>
          <cell r="AF141">
            <v>0.4488631949050465</v>
          </cell>
          <cell r="AG141">
            <v>0.63439331546579913</v>
          </cell>
          <cell r="AH141" t="str">
            <v>Mecánica</v>
          </cell>
          <cell r="AI141">
            <v>8.564309758788287</v>
          </cell>
          <cell r="AJ141">
            <v>0.2</v>
          </cell>
          <cell r="AK141">
            <v>42.821548793941432</v>
          </cell>
        </row>
        <row r="142">
          <cell r="A142" t="str">
            <v>C121</v>
          </cell>
          <cell r="B142" t="str">
            <v>COND</v>
          </cell>
          <cell r="C142" t="str">
            <v>WWOLEII09080702300</v>
          </cell>
          <cell r="D142" t="str">
            <v>VENTANILLA, SANTA ROSA Y MALACAS</v>
          </cell>
          <cell r="E142" t="str">
            <v>MONTAJE BANDEJAS PORTACABLES &lt;=10CM</v>
          </cell>
          <cell r="F142" t="str">
            <v>MONTAJE DE BANDEJAS PORTA CABLES DE CUALQUIER TIPO, INCLUYE: CORTE PREPARACIÓN DE EXTREMOS, APLICAR PINTURA DE ZINC EN FRIO, ADAPTACIÓNES ESPECIALES, INSTALACIÓN DE SOPORTE (INCLUIR SOLDADURA DONDE LO REQUIERA), INSTALACIÓN DEL SISTEMA DE PUESTA A TIERRA, INSTALACIÓN DE TAPAS Y ACCESORIOS, INSTALACIÓN DE UNIONES ETC.</v>
          </cell>
          <cell r="G142" t="str">
            <v>LEII0900</v>
          </cell>
          <cell r="H142" t="str">
            <v>M</v>
          </cell>
          <cell r="I142">
            <v>1</v>
          </cell>
          <cell r="J142">
            <v>1</v>
          </cell>
          <cell r="K142">
            <v>3</v>
          </cell>
          <cell r="L142">
            <v>3</v>
          </cell>
          <cell r="M142" t="str">
            <v>SI</v>
          </cell>
          <cell r="N142">
            <v>4</v>
          </cell>
          <cell r="O142">
            <v>3</v>
          </cell>
          <cell r="P142">
            <v>3</v>
          </cell>
          <cell r="Q142">
            <v>12</v>
          </cell>
          <cell r="R142">
            <v>9</v>
          </cell>
          <cell r="S142">
            <v>9</v>
          </cell>
          <cell r="T142">
            <v>147.85340769279296</v>
          </cell>
          <cell r="U142">
            <v>147.85340769279296</v>
          </cell>
          <cell r="V142">
            <v>147.85340769279296</v>
          </cell>
          <cell r="W142">
            <v>1774.2408923135154</v>
          </cell>
          <cell r="X142">
            <v>1330.6806692351365</v>
          </cell>
          <cell r="Y142">
            <v>3104.9215615486519</v>
          </cell>
          <cell r="Z142">
            <v>1330.6806692351365</v>
          </cell>
          <cell r="AA142">
            <v>147.85340769279296</v>
          </cell>
          <cell r="AB142">
            <v>24.12399037588672</v>
          </cell>
          <cell r="AC142">
            <v>3</v>
          </cell>
          <cell r="AD142">
            <v>21.764322900215959</v>
          </cell>
          <cell r="AE142">
            <v>35.015879009154752</v>
          </cell>
          <cell r="AF142">
            <v>7.7491303822218525</v>
          </cell>
          <cell r="AG142">
            <v>10.95210427354022</v>
          </cell>
          <cell r="AH142" t="str">
            <v>Electricidad</v>
          </cell>
          <cell r="AI142">
            <v>147.85340769279296</v>
          </cell>
          <cell r="AJ142">
            <v>3</v>
          </cell>
          <cell r="AK142">
            <v>49.284469230930988</v>
          </cell>
        </row>
        <row r="143">
          <cell r="A143" t="str">
            <v>C122</v>
          </cell>
          <cell r="B143" t="str">
            <v>COND</v>
          </cell>
          <cell r="C143" t="str">
            <v>WWOLEII09080702400</v>
          </cell>
          <cell r="D143" t="str">
            <v>VENTANILLA, SANTA ROSA Y MALACAS</v>
          </cell>
          <cell r="E143" t="str">
            <v>MONTAJE BANDEJAS PORTACABLES &gt;10 &lt;=30CM</v>
          </cell>
          <cell r="F143" t="str">
            <v>MONTAJE DE BANDEJAS PORTA CABLES DE CUALQUIER TIPO, INCLUYE: CORTE PREPARACIÓN DE EXTREMOS, APLICAR PINTURA DE ZINC EN FRIO, ADAPTACIÓNES ESPECIALES, INSTALACIÓN DE SOPORTE (INCLUIR SOLDADURA DONDE LO REQUIERA), INSTALACIÓN DEL SISTEMA DE PUESTA A TIERRA, INSTALACIÓN DE TAPAS Y ACCESORIOS, INSTALACIÓN DE UNIONES ETC.</v>
          </cell>
          <cell r="G143" t="str">
            <v>LEII0900</v>
          </cell>
          <cell r="H143" t="str">
            <v>M</v>
          </cell>
          <cell r="I143">
            <v>1</v>
          </cell>
          <cell r="J143">
            <v>1</v>
          </cell>
          <cell r="K143">
            <v>3</v>
          </cell>
          <cell r="L143">
            <v>3</v>
          </cell>
          <cell r="M143" t="str">
            <v>SI</v>
          </cell>
          <cell r="N143">
            <v>4</v>
          </cell>
          <cell r="O143">
            <v>3</v>
          </cell>
          <cell r="P143">
            <v>3</v>
          </cell>
          <cell r="Q143">
            <v>12</v>
          </cell>
          <cell r="R143">
            <v>9</v>
          </cell>
          <cell r="S143">
            <v>9</v>
          </cell>
          <cell r="T143">
            <v>147.85340769279298</v>
          </cell>
          <cell r="U143">
            <v>147.85340769279298</v>
          </cell>
          <cell r="V143">
            <v>147.85340769279298</v>
          </cell>
          <cell r="W143">
            <v>1774.2408923135158</v>
          </cell>
          <cell r="X143">
            <v>1330.680669235137</v>
          </cell>
          <cell r="Y143">
            <v>3104.9215615486528</v>
          </cell>
          <cell r="Z143">
            <v>1330.680669235137</v>
          </cell>
          <cell r="AA143">
            <v>147.85340769279298</v>
          </cell>
          <cell r="AB143">
            <v>24.12399037588672</v>
          </cell>
          <cell r="AC143">
            <v>3</v>
          </cell>
          <cell r="AD143">
            <v>21.764322900215973</v>
          </cell>
          <cell r="AE143">
            <v>35.015879009154773</v>
          </cell>
          <cell r="AF143">
            <v>7.7491303822218542</v>
          </cell>
          <cell r="AG143">
            <v>10.952104273540222</v>
          </cell>
          <cell r="AH143" t="str">
            <v>Electricidad</v>
          </cell>
          <cell r="AI143">
            <v>147.85340769279298</v>
          </cell>
          <cell r="AJ143">
            <v>3</v>
          </cell>
          <cell r="AK143">
            <v>49.284469230930995</v>
          </cell>
        </row>
        <row r="144">
          <cell r="A144" t="str">
            <v>C123</v>
          </cell>
          <cell r="B144" t="str">
            <v>COND</v>
          </cell>
          <cell r="C144" t="str">
            <v>WWOLEII09080702500</v>
          </cell>
          <cell r="D144" t="str">
            <v>VENTANILLA, SANTA ROSA Y MALACAS</v>
          </cell>
          <cell r="E144" t="str">
            <v>MONTAJE BANDEJAS PORTACABLES &gt;30 &lt;=60CM</v>
          </cell>
          <cell r="F144" t="str">
            <v>MONTAJE DE BANDEJAS PORTA CABLES DE CUALQUIER TIPO, INCLUYE: CORTE PREPARACIÓN DE EXTREMOS, APLICAR PINTURA DE ZINC EN FRIO, ADAPTACIÓNES ESPECIALES, INSTALACIÓN DE SOPORTE (INCLUIR SOLDADURA DONDE LO REQUIERA), INSTALACIÓN DEL SISTEMA DE PUESTA A TIERRA, INSTALACIÓN DE TAPAS Y ACCESORIOS, INSTALACIÓN DE UNIONES ETC.</v>
          </cell>
          <cell r="G144" t="str">
            <v>LEII0900</v>
          </cell>
          <cell r="H144" t="str">
            <v>M</v>
          </cell>
          <cell r="I144">
            <v>1</v>
          </cell>
          <cell r="J144">
            <v>1</v>
          </cell>
          <cell r="K144">
            <v>3</v>
          </cell>
          <cell r="L144">
            <v>3</v>
          </cell>
          <cell r="M144" t="str">
            <v>SI</v>
          </cell>
          <cell r="N144">
            <v>4</v>
          </cell>
          <cell r="O144">
            <v>3</v>
          </cell>
          <cell r="P144">
            <v>3</v>
          </cell>
          <cell r="Q144">
            <v>12</v>
          </cell>
          <cell r="R144">
            <v>9</v>
          </cell>
          <cell r="S144">
            <v>9</v>
          </cell>
          <cell r="T144">
            <v>147.85340769279296</v>
          </cell>
          <cell r="U144">
            <v>147.85340769279296</v>
          </cell>
          <cell r="V144">
            <v>147.85340769279296</v>
          </cell>
          <cell r="W144">
            <v>1774.2408923135154</v>
          </cell>
          <cell r="X144">
            <v>1330.6806692351365</v>
          </cell>
          <cell r="Y144">
            <v>3104.9215615486519</v>
          </cell>
          <cell r="Z144">
            <v>1330.6806692351365</v>
          </cell>
          <cell r="AA144">
            <v>147.85340769279296</v>
          </cell>
          <cell r="AB144">
            <v>24.12399037588672</v>
          </cell>
          <cell r="AC144">
            <v>3</v>
          </cell>
          <cell r="AD144">
            <v>21.764322900215959</v>
          </cell>
          <cell r="AE144">
            <v>35.015879009154752</v>
          </cell>
          <cell r="AF144">
            <v>7.7491303822218525</v>
          </cell>
          <cell r="AG144">
            <v>10.95210427354022</v>
          </cell>
          <cell r="AH144" t="str">
            <v>Electricidad</v>
          </cell>
          <cell r="AI144">
            <v>147.85340769279296</v>
          </cell>
          <cell r="AJ144">
            <v>3</v>
          </cell>
          <cell r="AK144">
            <v>49.284469230930988</v>
          </cell>
        </row>
        <row r="145">
          <cell r="A145" t="str">
            <v>C124</v>
          </cell>
          <cell r="B145" t="str">
            <v>COND</v>
          </cell>
          <cell r="C145" t="str">
            <v>WWOLEII09080702600</v>
          </cell>
          <cell r="D145" t="str">
            <v>VENTANILLA, SANTA ROSA Y MALACAS</v>
          </cell>
          <cell r="E145" t="str">
            <v>MONTAJE BANDEJAS PORTACABLES &gt;60CM</v>
          </cell>
          <cell r="F145" t="str">
            <v>MONTAJE DE BANDEJAS PORTA CABLES DE CUALQUIER TIPO, INCLUYE: CORTE PREPARACIÓN DE EXTREMOS, APLICAR PINTURA DE ZINC EN FRIO, ADAPTACIÓNES ESPECIALES, INSTALACIÓN DE SOPORTE (INCLUIR SOLDADURA DONDE LO REQUIERA), INSTALACIÓN DEL SISTEMA DE PUESTA A TIERRA, INSTALACIÓN DE TAPAS Y ACCESORIOS, INSTALACIÓN DE UNIONES ETC.</v>
          </cell>
          <cell r="G145" t="str">
            <v>LEII0900</v>
          </cell>
          <cell r="H145" t="str">
            <v>M</v>
          </cell>
          <cell r="I145">
            <v>1</v>
          </cell>
          <cell r="J145">
            <v>1</v>
          </cell>
          <cell r="K145">
            <v>3</v>
          </cell>
          <cell r="L145">
            <v>3</v>
          </cell>
          <cell r="M145" t="str">
            <v>SI</v>
          </cell>
          <cell r="N145">
            <v>4</v>
          </cell>
          <cell r="O145">
            <v>3</v>
          </cell>
          <cell r="P145">
            <v>3</v>
          </cell>
          <cell r="Q145">
            <v>12</v>
          </cell>
          <cell r="R145">
            <v>9</v>
          </cell>
          <cell r="S145">
            <v>9</v>
          </cell>
          <cell r="T145">
            <v>147.85340769279298</v>
          </cell>
          <cell r="U145">
            <v>147.85340769279298</v>
          </cell>
          <cell r="V145">
            <v>147.85340769279298</v>
          </cell>
          <cell r="W145">
            <v>1774.2408923135158</v>
          </cell>
          <cell r="X145">
            <v>1330.680669235137</v>
          </cell>
          <cell r="Y145">
            <v>3104.9215615486528</v>
          </cell>
          <cell r="Z145">
            <v>1330.680669235137</v>
          </cell>
          <cell r="AA145">
            <v>147.85340769279298</v>
          </cell>
          <cell r="AB145">
            <v>24.12399037588672</v>
          </cell>
          <cell r="AC145">
            <v>3</v>
          </cell>
          <cell r="AD145">
            <v>21.764322900215973</v>
          </cell>
          <cell r="AE145">
            <v>35.015879009154773</v>
          </cell>
          <cell r="AF145">
            <v>7.7491303822218542</v>
          </cell>
          <cell r="AG145">
            <v>10.952104273540222</v>
          </cell>
          <cell r="AH145" t="str">
            <v>Electricidad</v>
          </cell>
          <cell r="AI145">
            <v>147.85340769279298</v>
          </cell>
          <cell r="AJ145">
            <v>3</v>
          </cell>
          <cell r="AK145">
            <v>49.284469230930995</v>
          </cell>
        </row>
        <row r="146">
          <cell r="A146" t="str">
            <v>C116</v>
          </cell>
          <cell r="B146" t="str">
            <v>COND</v>
          </cell>
          <cell r="C146" t="str">
            <v>WWOLEII09080702700</v>
          </cell>
          <cell r="D146" t="str">
            <v>VENTANILLA, SANTA ROSA Y MALACAS</v>
          </cell>
          <cell r="E146" t="str">
            <v>MONT BANDEJA PORTACABLES PVC/FIBRA&lt;=60CM</v>
          </cell>
          <cell r="F146" t="str">
            <v>MONTAJE DE BANDEJAS PORTA CABLES DE CUALQUIER TIPO, INCLUYE: CORTE PREPARACIÓN DE EXTREMOS, ADAPTACIÓNES ESPECIALES, INSTALACIÓN DE SOPORTE (INCLUIR SOLDADURA DONDE LO REQUIERA), INSTALACIÓN DE TAPAS Y ACCESORIOS, INSTALACIÓN DE UNIONES ETC.</v>
          </cell>
          <cell r="G146" t="str">
            <v>LEII0900</v>
          </cell>
          <cell r="H146" t="str">
            <v>M</v>
          </cell>
          <cell r="I146">
            <v>1</v>
          </cell>
          <cell r="J146">
            <v>1</v>
          </cell>
          <cell r="K146">
            <v>3</v>
          </cell>
          <cell r="L146">
            <v>3</v>
          </cell>
          <cell r="M146" t="str">
            <v>SI</v>
          </cell>
          <cell r="N146">
            <v>4</v>
          </cell>
          <cell r="O146">
            <v>3</v>
          </cell>
          <cell r="P146">
            <v>3</v>
          </cell>
          <cell r="Q146">
            <v>12</v>
          </cell>
          <cell r="R146">
            <v>9</v>
          </cell>
          <cell r="S146">
            <v>9</v>
          </cell>
          <cell r="T146">
            <v>147.85340769279298</v>
          </cell>
          <cell r="U146">
            <v>147.85340769279298</v>
          </cell>
          <cell r="V146">
            <v>147.85340769279298</v>
          </cell>
          <cell r="W146">
            <v>1774.2408923135158</v>
          </cell>
          <cell r="X146">
            <v>1330.680669235137</v>
          </cell>
          <cell r="Y146">
            <v>3104.9215615486528</v>
          </cell>
          <cell r="Z146">
            <v>1330.680669235137</v>
          </cell>
          <cell r="AA146">
            <v>147.85340769279298</v>
          </cell>
          <cell r="AB146">
            <v>24.12399037588672</v>
          </cell>
          <cell r="AC146">
            <v>3</v>
          </cell>
          <cell r="AD146">
            <v>21.764322900215973</v>
          </cell>
          <cell r="AE146">
            <v>35.015879009154773</v>
          </cell>
          <cell r="AF146">
            <v>7.7491303822218542</v>
          </cell>
          <cell r="AG146">
            <v>10.952104273540222</v>
          </cell>
          <cell r="AH146" t="str">
            <v>Electricidad</v>
          </cell>
          <cell r="AI146">
            <v>147.85340769279298</v>
          </cell>
          <cell r="AJ146">
            <v>3</v>
          </cell>
          <cell r="AK146">
            <v>49.284469230930995</v>
          </cell>
        </row>
        <row r="147">
          <cell r="A147" t="str">
            <v>P111</v>
          </cell>
          <cell r="B147" t="str">
            <v>PREV</v>
          </cell>
          <cell r="C147" t="str">
            <v>PEOMMIM01MMMONIT01</v>
          </cell>
          <cell r="D147" t="str">
            <v>VENTANILLA</v>
          </cell>
          <cell r="E147" t="str">
            <v>MONITOREO DIMENSICONAL DIAM. TUBOS COND.</v>
          </cell>
          <cell r="F147" t="str">
            <v>MONITOREO DIMENSIONAL DIAM. TUBOS COND.</v>
          </cell>
          <cell r="G147" t="str">
            <v>MMIM01</v>
          </cell>
          <cell r="H147" t="str">
            <v>NUM</v>
          </cell>
          <cell r="I147">
            <v>3</v>
          </cell>
          <cell r="J147">
            <v>12</v>
          </cell>
          <cell r="K147">
            <v>2</v>
          </cell>
          <cell r="L147">
            <v>72</v>
          </cell>
          <cell r="M147" t="str">
            <v>SI</v>
          </cell>
          <cell r="N147">
            <v>1</v>
          </cell>
          <cell r="O147">
            <v>0</v>
          </cell>
          <cell r="P147">
            <v>0</v>
          </cell>
          <cell r="Q147">
            <v>3</v>
          </cell>
          <cell r="R147">
            <v>0</v>
          </cell>
          <cell r="S147">
            <v>0</v>
          </cell>
          <cell r="T147">
            <v>3096.5087325489012</v>
          </cell>
          <cell r="U147"/>
          <cell r="V147">
            <v>0</v>
          </cell>
          <cell r="W147">
            <v>9289.5261976467045</v>
          </cell>
          <cell r="X147">
            <v>0</v>
          </cell>
          <cell r="Y147">
            <v>9289.5261976467045</v>
          </cell>
          <cell r="Z147">
            <v>0</v>
          </cell>
          <cell r="AA147">
            <v>3096.5087325489012</v>
          </cell>
          <cell r="AB147">
            <v>19.171538486527368</v>
          </cell>
          <cell r="AC147">
            <v>72</v>
          </cell>
          <cell r="AD147">
            <v>507.69036545813827</v>
          </cell>
          <cell r="AE147">
            <v>816.8057647600574</v>
          </cell>
          <cell r="AF147">
            <v>162.29081407488999</v>
          </cell>
          <cell r="AG147">
            <v>229.37101722584453</v>
          </cell>
          <cell r="AH147" t="str">
            <v>Mecánica</v>
          </cell>
          <cell r="AI147">
            <v>3096.5087325489012</v>
          </cell>
          <cell r="AJ147">
            <v>72</v>
          </cell>
          <cell r="AK147">
            <v>43.007065729845849</v>
          </cell>
        </row>
        <row r="148">
          <cell r="A148" t="str">
            <v>C166</v>
          </cell>
          <cell r="B148" t="str">
            <v>COND</v>
          </cell>
          <cell r="C148" t="str">
            <v>LMIS0103A070500100</v>
          </cell>
          <cell r="D148" t="str">
            <v>VENTANILLA, SANTA ROSA Y MALACAS</v>
          </cell>
          <cell r="E148" t="str">
            <v>MODIF. ANDAMIO CON VARIAC. VOLUMEN</v>
          </cell>
          <cell r="F148" t="str">
            <v>MODIFICACIONES DE ANDAMIO (CON CAMBIO DE VOLUMETRÍA) VOL.</v>
          </cell>
          <cell r="G148" t="str">
            <v>LMIS0103</v>
          </cell>
          <cell r="H148" t="str">
            <v>M3</v>
          </cell>
          <cell r="I148">
            <v>1</v>
          </cell>
          <cell r="J148">
            <v>1.5</v>
          </cell>
          <cell r="K148">
            <v>3</v>
          </cell>
          <cell r="L148">
            <v>4.5</v>
          </cell>
          <cell r="M148" t="str">
            <v>SI</v>
          </cell>
          <cell r="N148">
            <v>4</v>
          </cell>
          <cell r="O148">
            <v>3</v>
          </cell>
          <cell r="P148">
            <v>3</v>
          </cell>
          <cell r="Q148">
            <v>12</v>
          </cell>
          <cell r="R148">
            <v>9</v>
          </cell>
          <cell r="S148">
            <v>9</v>
          </cell>
          <cell r="T148">
            <v>199.5810094670143</v>
          </cell>
          <cell r="U148">
            <v>199.5810094670143</v>
          </cell>
          <cell r="V148">
            <v>199.5810094670143</v>
          </cell>
          <cell r="W148">
            <v>2394.9721136041717</v>
          </cell>
          <cell r="X148">
            <v>1796.2290852031288</v>
          </cell>
          <cell r="Y148">
            <v>4191.2011988073009</v>
          </cell>
          <cell r="Z148">
            <v>1796.2290852031288</v>
          </cell>
          <cell r="AA148">
            <v>199.5810094670143</v>
          </cell>
          <cell r="AB148">
            <v>20.463193652193159</v>
          </cell>
          <cell r="AC148">
            <v>4.5</v>
          </cell>
          <cell r="AD148">
            <v>31.528119536272662</v>
          </cell>
          <cell r="AE148">
            <v>50.724519394873397</v>
          </cell>
          <cell r="AF148">
            <v>10.460220621960916</v>
          </cell>
          <cell r="AG148">
            <v>14.783778479038096</v>
          </cell>
          <cell r="AH148" t="str">
            <v>Mecánica</v>
          </cell>
          <cell r="AI148">
            <v>199.5810094670143</v>
          </cell>
          <cell r="AJ148">
            <v>4.5</v>
          </cell>
          <cell r="AK148">
            <v>44.351335437114287</v>
          </cell>
        </row>
        <row r="149">
          <cell r="A149" t="str">
            <v>C340</v>
          </cell>
          <cell r="B149" t="str">
            <v>COND</v>
          </cell>
          <cell r="C149" t="str">
            <v>PEOLEII09MEMETRA01</v>
          </cell>
          <cell r="D149" t="str">
            <v>VENTANILLA, SANTA ROSA Y MALACAS</v>
          </cell>
          <cell r="E149" t="str">
            <v>METRADOS PARA TRABAJOS ELECTRICOS</v>
          </cell>
          <cell r="F149" t="str">
            <v>METRADO DE MATERIALES ELECTRICOS PARA TRABAJOS DE INSTALACIONES</v>
          </cell>
          <cell r="G149" t="str">
            <v>LEII0900</v>
          </cell>
          <cell r="H149" t="str">
            <v>NUM</v>
          </cell>
          <cell r="I149">
            <v>1</v>
          </cell>
          <cell r="J149">
            <v>1</v>
          </cell>
          <cell r="K149">
            <v>1</v>
          </cell>
          <cell r="L149">
            <v>1</v>
          </cell>
          <cell r="M149" t="str">
            <v>NO</v>
          </cell>
          <cell r="N149">
            <v>24</v>
          </cell>
          <cell r="O149">
            <v>24</v>
          </cell>
          <cell r="P149">
            <v>5</v>
          </cell>
          <cell r="Q149">
            <v>72</v>
          </cell>
          <cell r="R149">
            <v>72</v>
          </cell>
          <cell r="S149">
            <v>15</v>
          </cell>
          <cell r="T149">
            <v>503.38360704889226</v>
          </cell>
          <cell r="U149">
            <v>503.38360704889226</v>
          </cell>
          <cell r="V149">
            <v>503.38360704889226</v>
          </cell>
          <cell r="W149">
            <v>36243.619707520244</v>
          </cell>
          <cell r="X149">
            <v>36243.619707520244</v>
          </cell>
          <cell r="Y149">
            <v>72487.239415040487</v>
          </cell>
          <cell r="Z149">
            <v>7550.7541057333838</v>
          </cell>
          <cell r="AA149">
            <v>503.38360704889226</v>
          </cell>
          <cell r="AB149">
            <v>23.057832511738386</v>
          </cell>
          <cell r="AC149">
            <v>10</v>
          </cell>
          <cell r="AD149">
            <v>71.776280566163166</v>
          </cell>
          <cell r="AE149">
            <v>137.35853813973415</v>
          </cell>
          <cell r="AF149">
            <v>26.382788629396867</v>
          </cell>
          <cell r="AG149">
            <v>37.287674596214245</v>
          </cell>
          <cell r="AH149" t="e">
            <v>#N/A</v>
          </cell>
          <cell r="AI149">
            <v>503.38360704889226</v>
          </cell>
          <cell r="AJ149">
            <v>1</v>
          </cell>
          <cell r="AK149">
            <v>503.38360704889226</v>
          </cell>
        </row>
        <row r="150">
          <cell r="A150" t="str">
            <v>P093</v>
          </cell>
          <cell r="B150" t="str">
            <v>PREV</v>
          </cell>
          <cell r="C150" t="str">
            <v>WWOMMIM01062100100</v>
          </cell>
          <cell r="D150" t="str">
            <v>MALACAS</v>
          </cell>
          <cell r="E150" t="str">
            <v>MANTENIM POLIP (INSPEC, PRUEBAS, REPAR)</v>
          </cell>
          <cell r="F150" t="str">
            <v>MEDIR AISLAMIENTO MOTORES Y ACOMETIDA. COMPROBAR RESISTENCIAS CALEFACT. INSPEC VISUAL ESTRUCTURA, CARRIL DE RODADURA Y RODILLOS. INSPEC VISUAL POLEAS, ARTICULACIÓNES Y GANCHO; SUSTITUIR SI PROCEDE. ENGRASAR RODAMIENTOS, POLEAS, ENGRANAJES, SOPORTES Y GANCHO Y: ENGRASE CABLE DE ELEVACIÓN. SUSTITUIR SI PROCEDE. COMPROBAR FUNCIÓNAMIENTO ELETROFRENO MOTORES Y FINALES DE CARRERA; REPARAR SI PROCEDE.</v>
          </cell>
          <cell r="G150" t="str">
            <v>MMIM0106</v>
          </cell>
          <cell r="H150" t="str">
            <v>NUM</v>
          </cell>
          <cell r="I150">
            <v>1</v>
          </cell>
          <cell r="J150">
            <v>6</v>
          </cell>
          <cell r="K150">
            <v>3</v>
          </cell>
          <cell r="L150">
            <v>18</v>
          </cell>
          <cell r="M150" t="str">
            <v>SI</v>
          </cell>
          <cell r="N150">
            <v>0</v>
          </cell>
          <cell r="O150">
            <v>0</v>
          </cell>
          <cell r="P150">
            <v>1</v>
          </cell>
          <cell r="Q150">
            <v>0</v>
          </cell>
          <cell r="R150">
            <v>0</v>
          </cell>
          <cell r="S150">
            <v>3</v>
          </cell>
          <cell r="T150"/>
          <cell r="U150"/>
          <cell r="V150">
            <v>658.21470876153512</v>
          </cell>
          <cell r="W150">
            <v>0</v>
          </cell>
          <cell r="X150">
            <v>0</v>
          </cell>
          <cell r="Y150">
            <v>0</v>
          </cell>
          <cell r="Z150">
            <v>1974.6441262846054</v>
          </cell>
          <cell r="AA150">
            <v>658.21470876153512</v>
          </cell>
          <cell r="AB150">
            <v>21.097736084341122</v>
          </cell>
          <cell r="AC150">
            <v>18</v>
          </cell>
          <cell r="AD150">
            <v>77.640921376368098</v>
          </cell>
          <cell r="AE150">
            <v>117.56026652821632</v>
          </cell>
          <cell r="AF150">
            <v>34.497626245363477</v>
          </cell>
          <cell r="AG150">
            <v>48.756645093447048</v>
          </cell>
          <cell r="AH150" t="str">
            <v>Mecánica</v>
          </cell>
          <cell r="AI150">
            <v>658.21470876153512</v>
          </cell>
          <cell r="AJ150">
            <v>18</v>
          </cell>
          <cell r="AK150">
            <v>36.567483820085286</v>
          </cell>
        </row>
        <row r="151">
          <cell r="A151" t="str">
            <v>C312</v>
          </cell>
          <cell r="B151" t="str">
            <v>COND</v>
          </cell>
          <cell r="C151" t="str">
            <v>WWOMMIM01062100100</v>
          </cell>
          <cell r="D151" t="str">
            <v>VENTANILLA, SANTA ROSA Y MALACAS</v>
          </cell>
          <cell r="E151" t="str">
            <v>MANTENIM POLIP (INSPEC, PRUEBAS, REPAR)</v>
          </cell>
          <cell r="F151" t="str">
            <v>MEDIR AISLAMIENTO MOTORES Y ACOMETIDA. COMPROBAR RESISTENCIAS CALEFACT. INSPEC VISUAL ESTRUCTURA, CARRIL DE RODADURA Y RODILLOS. INSPEC VISUAL POLEAS, ARTICULACIÓNES Y GANCHO; SUSTITUIR SI PROCEDE. ENGRASAR RODAMIENTOS, POLEAS, ENGRANAJES, SOPORTES Y GANCHO Y: ENGRASE CABLE DE ELEVACIÓN. SUSTITUIR SI PROCEDE. COMPROBAR FUNCIÓNAMIENTO ELETROFRENO MOTORES Y FINALES DE CARRERA; REPARAR SI PROCEDE.</v>
          </cell>
          <cell r="G151" t="str">
            <v>MMIM0100</v>
          </cell>
          <cell r="H151" t="str">
            <v>NUM</v>
          </cell>
          <cell r="I151">
            <v>1</v>
          </cell>
          <cell r="J151">
            <v>6</v>
          </cell>
          <cell r="K151">
            <v>3</v>
          </cell>
          <cell r="L151">
            <v>18</v>
          </cell>
          <cell r="M151" t="str">
            <v>SI</v>
          </cell>
          <cell r="N151">
            <v>1</v>
          </cell>
          <cell r="O151">
            <v>1</v>
          </cell>
          <cell r="P151">
            <v>1</v>
          </cell>
          <cell r="Q151">
            <v>3</v>
          </cell>
          <cell r="R151">
            <v>3</v>
          </cell>
          <cell r="S151">
            <v>3</v>
          </cell>
          <cell r="T151">
            <v>798.32403786805719</v>
          </cell>
          <cell r="U151">
            <v>798.32403786805719</v>
          </cell>
          <cell r="V151">
            <v>798.32403786805719</v>
          </cell>
          <cell r="W151">
            <v>2394.9721136041717</v>
          </cell>
          <cell r="X151">
            <v>2394.9721136041717</v>
          </cell>
          <cell r="Y151">
            <v>4789.9442272083434</v>
          </cell>
          <cell r="Z151">
            <v>2394.9721136041717</v>
          </cell>
          <cell r="AA151">
            <v>798.32403786805719</v>
          </cell>
          <cell r="AB151">
            <v>20.463193652193159</v>
          </cell>
          <cell r="AC151">
            <v>18</v>
          </cell>
          <cell r="AD151">
            <v>126.11247814509065</v>
          </cell>
          <cell r="AE151">
            <v>202.89807757949359</v>
          </cell>
          <cell r="AF151">
            <v>41.840882487843665</v>
          </cell>
          <cell r="AG151">
            <v>59.135113916152385</v>
          </cell>
          <cell r="AH151" t="str">
            <v>Mecánica</v>
          </cell>
          <cell r="AI151">
            <v>798.32403786805719</v>
          </cell>
          <cell r="AJ151">
            <v>18</v>
          </cell>
          <cell r="AK151">
            <v>44.351335437114287</v>
          </cell>
        </row>
        <row r="152">
          <cell r="A152" t="str">
            <v>P024</v>
          </cell>
          <cell r="B152" t="str">
            <v>PREV</v>
          </cell>
          <cell r="C152" t="str">
            <v>PEOLEII0900MEPTI02</v>
          </cell>
          <cell r="D152" t="str">
            <v>VENTANILLA, SANTA ROSA Y MALACAS</v>
          </cell>
          <cell r="E152" t="str">
            <v>MEDIDA POZOS PAT</v>
          </cell>
          <cell r="F152" t="str">
            <v>MEDIDA DE RESISTENCIA DE PUESTA A TIERRA Y CORRIENTE DE FUGA</v>
          </cell>
          <cell r="G152" t="str">
            <v>LEII0900</v>
          </cell>
          <cell r="H152" t="str">
            <v>NUM</v>
          </cell>
          <cell r="I152">
            <v>1</v>
          </cell>
          <cell r="J152">
            <v>0.5</v>
          </cell>
          <cell r="K152">
            <v>2</v>
          </cell>
          <cell r="L152">
            <v>1</v>
          </cell>
          <cell r="M152" t="str">
            <v>NO</v>
          </cell>
          <cell r="N152">
            <v>20</v>
          </cell>
          <cell r="O152">
            <v>33</v>
          </cell>
          <cell r="P152">
            <v>138</v>
          </cell>
          <cell r="Q152">
            <v>60</v>
          </cell>
          <cell r="R152">
            <v>99</v>
          </cell>
          <cell r="S152">
            <v>414</v>
          </cell>
          <cell r="T152">
            <v>49.26082848872727</v>
          </cell>
          <cell r="U152">
            <v>49.26082848872727</v>
          </cell>
          <cell r="V152">
            <v>49.26082848872727</v>
          </cell>
          <cell r="W152">
            <v>2955.6497093236362</v>
          </cell>
          <cell r="X152">
            <v>4876.8220203840001</v>
          </cell>
          <cell r="Y152">
            <v>7832.4717297076368</v>
          </cell>
          <cell r="Z152">
            <v>20393.982994333091</v>
          </cell>
          <cell r="AA152">
            <v>49.26082848872727</v>
          </cell>
          <cell r="AB152">
            <v>23.057832511738386</v>
          </cell>
          <cell r="AC152">
            <v>1</v>
          </cell>
          <cell r="AD152">
            <v>7.1022737396764333</v>
          </cell>
          <cell r="AE152">
            <v>12.869967550757845</v>
          </cell>
          <cell r="AF152">
            <v>2.58180442813036</v>
          </cell>
          <cell r="AG152">
            <v>3.6489502584242421</v>
          </cell>
          <cell r="AH152" t="str">
            <v>Electricidad</v>
          </cell>
          <cell r="AI152">
            <v>49.26082848872727</v>
          </cell>
          <cell r="AJ152">
            <v>1</v>
          </cell>
          <cell r="AK152">
            <v>49.26082848872727</v>
          </cell>
        </row>
        <row r="153">
          <cell r="A153" t="str">
            <v>C360</v>
          </cell>
          <cell r="B153" t="str">
            <v>COND</v>
          </cell>
          <cell r="C153" t="str">
            <v>PEOLEII09MEPRUEB03</v>
          </cell>
          <cell r="D153" t="str">
            <v>VENTANILLA, SANTA ROSA Y MALACAS</v>
          </cell>
          <cell r="E153" t="str">
            <v>PRUEBAS EN VACIO MOTORES</v>
          </cell>
          <cell r="F153" t="str">
            <v xml:space="preserve">MEDIDA DE PARAMETROS EN VACIO DE MOTORES </v>
          </cell>
          <cell r="G153" t="str">
            <v>LEII0900</v>
          </cell>
          <cell r="H153" t="str">
            <v>NUM</v>
          </cell>
          <cell r="I153">
            <v>1</v>
          </cell>
          <cell r="J153">
            <v>1</v>
          </cell>
          <cell r="K153">
            <v>2</v>
          </cell>
          <cell r="L153">
            <v>2</v>
          </cell>
          <cell r="M153" t="str">
            <v>NO</v>
          </cell>
          <cell r="N153">
            <v>10</v>
          </cell>
          <cell r="O153">
            <v>2</v>
          </cell>
          <cell r="P153">
            <v>2</v>
          </cell>
          <cell r="Q153">
            <v>30</v>
          </cell>
          <cell r="R153">
            <v>6</v>
          </cell>
          <cell r="S153">
            <v>6</v>
          </cell>
          <cell r="T153">
            <v>98.521656977454541</v>
          </cell>
          <cell r="U153">
            <v>98.521656977454541</v>
          </cell>
          <cell r="V153">
            <v>98.521656977454541</v>
          </cell>
          <cell r="W153">
            <v>2955.6497093236362</v>
          </cell>
          <cell r="X153">
            <v>591.12994186472724</v>
          </cell>
          <cell r="Y153">
            <v>3546.7796511883635</v>
          </cell>
          <cell r="Z153">
            <v>591.12994186472724</v>
          </cell>
          <cell r="AA153">
            <v>98.521656977454541</v>
          </cell>
          <cell r="AB153">
            <v>23.057832511738386</v>
          </cell>
          <cell r="AC153">
            <v>2</v>
          </cell>
          <cell r="AD153">
            <v>14.204547479352867</v>
          </cell>
          <cell r="AE153">
            <v>25.739935101515691</v>
          </cell>
          <cell r="AF153">
            <v>5.1636088562607201</v>
          </cell>
          <cell r="AG153">
            <v>7.2979005168484843</v>
          </cell>
          <cell r="AH153" t="e">
            <v>#N/A</v>
          </cell>
          <cell r="AI153">
            <v>98.521656977454541</v>
          </cell>
          <cell r="AJ153">
            <v>2</v>
          </cell>
          <cell r="AK153">
            <v>49.26082848872727</v>
          </cell>
        </row>
        <row r="154">
          <cell r="A154" t="str">
            <v>C347</v>
          </cell>
          <cell r="B154" t="str">
            <v>COND</v>
          </cell>
          <cell r="C154" t="str">
            <v>PEOLEII09MEAISL001</v>
          </cell>
          <cell r="D154" t="str">
            <v>VENTANILLA</v>
          </cell>
          <cell r="E154" t="str">
            <v>CONTROL AISLAMIENTO MOTORES SUMERGIBLES  POZO SUM AGUA</v>
          </cell>
          <cell r="F154" t="str">
            <v xml:space="preserve">MEDIDA DE AISLAMIENTO DE MOTOR EN TALLER </v>
          </cell>
          <cell r="G154" t="str">
            <v>LEII0900</v>
          </cell>
          <cell r="H154" t="str">
            <v>NUM</v>
          </cell>
          <cell r="I154">
            <v>2</v>
          </cell>
          <cell r="J154">
            <v>3</v>
          </cell>
          <cell r="K154">
            <v>2</v>
          </cell>
          <cell r="L154">
            <v>12</v>
          </cell>
          <cell r="M154" t="str">
            <v>NO</v>
          </cell>
          <cell r="N154">
            <v>4</v>
          </cell>
          <cell r="O154">
            <v>0</v>
          </cell>
          <cell r="P154">
            <v>0</v>
          </cell>
          <cell r="Q154">
            <v>12</v>
          </cell>
          <cell r="R154">
            <v>0</v>
          </cell>
          <cell r="S154">
            <v>0</v>
          </cell>
          <cell r="T154">
            <v>285.45910341383035</v>
          </cell>
          <cell r="U154"/>
          <cell r="V154">
            <v>0</v>
          </cell>
          <cell r="W154">
            <v>3425.5092409659642</v>
          </cell>
          <cell r="X154">
            <v>0</v>
          </cell>
          <cell r="Y154">
            <v>3425.5092409659642</v>
          </cell>
          <cell r="Z154">
            <v>0</v>
          </cell>
          <cell r="AA154">
            <v>285.45910341383035</v>
          </cell>
          <cell r="AB154">
            <v>23.057832511738386</v>
          </cell>
          <cell r="AC154">
            <v>6</v>
          </cell>
          <cell r="AD154">
            <v>42.549452850671038</v>
          </cell>
          <cell r="AE154">
            <v>68.456367779309502</v>
          </cell>
          <cell r="AF154">
            <v>14.961168942024651</v>
          </cell>
          <cell r="AG154">
            <v>21.145118771394841</v>
          </cell>
          <cell r="AH154" t="e">
            <v>#N/A</v>
          </cell>
          <cell r="AI154">
            <v>285.45910341383035</v>
          </cell>
          <cell r="AJ154">
            <v>12</v>
          </cell>
          <cell r="AK154">
            <v>23.788258617819196</v>
          </cell>
        </row>
        <row r="155">
          <cell r="A155" t="str">
            <v>C344</v>
          </cell>
          <cell r="B155" t="str">
            <v>COND</v>
          </cell>
          <cell r="C155" t="str">
            <v>PEOLEII09MEPRUEB01</v>
          </cell>
          <cell r="D155" t="str">
            <v>VENTANILLA Y SANTA ROSA</v>
          </cell>
          <cell r="E155" t="str">
            <v>PRUEBAS ELECTRICAS ALTERNADOR</v>
          </cell>
          <cell r="F155" t="str">
            <v>MEDIDA DE AISLAMIENTO DE ESTATOR Y ROTOR</v>
          </cell>
          <cell r="G155" t="str">
            <v>LEII0900</v>
          </cell>
          <cell r="H155" t="str">
            <v>NUM</v>
          </cell>
          <cell r="I155">
            <v>1</v>
          </cell>
          <cell r="J155">
            <v>1</v>
          </cell>
          <cell r="K155">
            <v>2</v>
          </cell>
          <cell r="L155">
            <v>2</v>
          </cell>
          <cell r="M155" t="str">
            <v>NO</v>
          </cell>
          <cell r="N155">
            <v>2</v>
          </cell>
          <cell r="O155">
            <v>1</v>
          </cell>
          <cell r="P155">
            <v>0</v>
          </cell>
          <cell r="Q155">
            <v>6</v>
          </cell>
          <cell r="R155">
            <v>3</v>
          </cell>
          <cell r="S155">
            <v>0</v>
          </cell>
          <cell r="T155">
            <v>95.153034471276996</v>
          </cell>
          <cell r="U155">
            <v>95.153034471276996</v>
          </cell>
          <cell r="V155">
            <v>0</v>
          </cell>
          <cell r="W155">
            <v>570.91820682766195</v>
          </cell>
          <cell r="X155">
            <v>285.45910341383097</v>
          </cell>
          <cell r="Y155">
            <v>856.37731024149298</v>
          </cell>
          <cell r="Z155">
            <v>0</v>
          </cell>
          <cell r="AA155">
            <v>95.153034471276996</v>
          </cell>
          <cell r="AB155">
            <v>23.057832511738386</v>
          </cell>
          <cell r="AC155">
            <v>2</v>
          </cell>
          <cell r="AD155">
            <v>14.183150950223752</v>
          </cell>
          <cell r="AE155">
            <v>22.818789259769947</v>
          </cell>
          <cell r="AF155">
            <v>4.9870563140082282</v>
          </cell>
          <cell r="AG155">
            <v>7.0483729237982962</v>
          </cell>
          <cell r="AH155" t="e">
            <v>#N/A</v>
          </cell>
          <cell r="AI155">
            <v>95.153034471276996</v>
          </cell>
          <cell r="AJ155">
            <v>2</v>
          </cell>
          <cell r="AK155">
            <v>47.576517235638498</v>
          </cell>
        </row>
        <row r="156">
          <cell r="A156" t="str">
            <v>P104</v>
          </cell>
          <cell r="B156" t="str">
            <v>PREV</v>
          </cell>
          <cell r="C156" t="str">
            <v>PEOLEII09MEAISL002</v>
          </cell>
          <cell r="D156" t="str">
            <v>VENTANILLA Y SANTA ROSA</v>
          </cell>
          <cell r="E156" t="str">
            <v>MEDIDA AISLAMIENTO BRIDA DIELECTRICA EN TUBERIA GAS</v>
          </cell>
          <cell r="F156" t="str">
            <v>MEDIDA AISLAMIENTO BRIDA DIELECTRICA EN TUBERIA GAS</v>
          </cell>
          <cell r="G156" t="str">
            <v>LEII0900</v>
          </cell>
          <cell r="H156" t="str">
            <v>NUM</v>
          </cell>
          <cell r="I156">
            <v>1</v>
          </cell>
          <cell r="J156">
            <v>0.5</v>
          </cell>
          <cell r="K156">
            <v>2</v>
          </cell>
          <cell r="L156">
            <v>1</v>
          </cell>
          <cell r="M156" t="str">
            <v>NO</v>
          </cell>
          <cell r="N156">
            <v>18</v>
          </cell>
          <cell r="O156">
            <v>5</v>
          </cell>
          <cell r="P156">
            <v>0</v>
          </cell>
          <cell r="Q156">
            <v>54</v>
          </cell>
          <cell r="R156">
            <v>15</v>
          </cell>
          <cell r="S156">
            <v>0</v>
          </cell>
          <cell r="T156">
            <v>47.576517235638484</v>
          </cell>
          <cell r="U156">
            <v>47.576517235638484</v>
          </cell>
          <cell r="V156">
            <v>0</v>
          </cell>
          <cell r="W156">
            <v>2569.131930724478</v>
          </cell>
          <cell r="X156">
            <v>713.64775853457729</v>
          </cell>
          <cell r="Y156">
            <v>3282.7796892590554</v>
          </cell>
          <cell r="Z156">
            <v>0</v>
          </cell>
          <cell r="AA156">
            <v>47.576517235638484</v>
          </cell>
          <cell r="AB156">
            <v>23.057832511738386</v>
          </cell>
          <cell r="AC156">
            <v>1</v>
          </cell>
          <cell r="AD156">
            <v>7.0915754751118705</v>
          </cell>
          <cell r="AE156">
            <v>11.409394629884966</v>
          </cell>
          <cell r="AF156">
            <v>2.4935281570041132</v>
          </cell>
          <cell r="AG156">
            <v>3.5241864618991467</v>
          </cell>
          <cell r="AH156" t="str">
            <v>Electricidad</v>
          </cell>
          <cell r="AI156">
            <v>47.576517235638484</v>
          </cell>
          <cell r="AJ156">
            <v>1</v>
          </cell>
          <cell r="AK156">
            <v>47.576517235638484</v>
          </cell>
        </row>
        <row r="157">
          <cell r="A157" t="str">
            <v>C337</v>
          </cell>
          <cell r="B157" t="str">
            <v>COND</v>
          </cell>
          <cell r="C157" t="str">
            <v>PEOLEII09MEREV0002</v>
          </cell>
          <cell r="D157" t="str">
            <v>VENTANILLA</v>
          </cell>
          <cell r="E157" t="str">
            <v>REVISION CAMBIO FUSIBLES SISTEMA EDY</v>
          </cell>
          <cell r="F157" t="str">
            <v>MEDICION DE CORRIENTES, REV. CAMBIO FUSIBLES DE CONTROL CELDAS EDY DE LA PLANTA DE AGUA</v>
          </cell>
          <cell r="G157" t="str">
            <v>LEII0900</v>
          </cell>
          <cell r="H157" t="str">
            <v>NUM</v>
          </cell>
          <cell r="I157">
            <v>1</v>
          </cell>
          <cell r="J157">
            <v>1</v>
          </cell>
          <cell r="K157">
            <v>2</v>
          </cell>
          <cell r="L157">
            <v>2</v>
          </cell>
          <cell r="M157" t="str">
            <v>NO</v>
          </cell>
          <cell r="N157">
            <v>10</v>
          </cell>
          <cell r="O157">
            <v>0</v>
          </cell>
          <cell r="P157">
            <v>0</v>
          </cell>
          <cell r="Q157">
            <v>30</v>
          </cell>
          <cell r="R157">
            <v>0</v>
          </cell>
          <cell r="S157">
            <v>0</v>
          </cell>
          <cell r="T157">
            <v>95.153034471276968</v>
          </cell>
          <cell r="U157"/>
          <cell r="V157">
            <v>0</v>
          </cell>
          <cell r="W157">
            <v>2854.5910341383092</v>
          </cell>
          <cell r="X157">
            <v>0</v>
          </cell>
          <cell r="Y157">
            <v>2854.5910341383092</v>
          </cell>
          <cell r="Z157">
            <v>0</v>
          </cell>
          <cell r="AA157">
            <v>95.153034471276968</v>
          </cell>
          <cell r="AB157">
            <v>23.057832511738386</v>
          </cell>
          <cell r="AC157">
            <v>2</v>
          </cell>
          <cell r="AD157">
            <v>14.183150950223741</v>
          </cell>
          <cell r="AE157">
            <v>22.818789259769932</v>
          </cell>
          <cell r="AF157">
            <v>4.9870563140082265</v>
          </cell>
          <cell r="AG157">
            <v>7.0483729237982935</v>
          </cell>
          <cell r="AH157" t="e">
            <v>#N/A</v>
          </cell>
          <cell r="AI157">
            <v>95.153034471276968</v>
          </cell>
          <cell r="AJ157">
            <v>2</v>
          </cell>
          <cell r="AK157">
            <v>47.576517235638484</v>
          </cell>
        </row>
        <row r="158">
          <cell r="A158" t="str">
            <v>C356</v>
          </cell>
          <cell r="B158" t="str">
            <v>COND</v>
          </cell>
          <cell r="C158" t="str">
            <v>PEOLEII09MEMEDIC01</v>
          </cell>
          <cell r="D158" t="str">
            <v>VENTANILLA, SANTA ROSA Y MALACAS</v>
          </cell>
          <cell r="E158" t="str">
            <v>MEDICION DE PARAMETROS ELECTRICOS DE MOTORES</v>
          </cell>
          <cell r="F158" t="str">
            <v>MEDICION DE CORRIENTES DE ARRANQUE Y OPERACIÓN DE MOTORES</v>
          </cell>
          <cell r="G158" t="str">
            <v>LEII0900</v>
          </cell>
          <cell r="H158" t="str">
            <v>NUM</v>
          </cell>
          <cell r="I158">
            <v>1</v>
          </cell>
          <cell r="J158">
            <v>0.5</v>
          </cell>
          <cell r="K158">
            <v>2</v>
          </cell>
          <cell r="L158">
            <v>1</v>
          </cell>
          <cell r="M158" t="str">
            <v>NO</v>
          </cell>
          <cell r="N158">
            <v>20</v>
          </cell>
          <cell r="O158">
            <v>2</v>
          </cell>
          <cell r="P158">
            <v>3</v>
          </cell>
          <cell r="Q158">
            <v>60</v>
          </cell>
          <cell r="R158">
            <v>6</v>
          </cell>
          <cell r="S158">
            <v>9</v>
          </cell>
          <cell r="T158">
            <v>48.112168579652383</v>
          </cell>
          <cell r="U158">
            <v>48.112168579652383</v>
          </cell>
          <cell r="V158">
            <v>48.112168579652383</v>
          </cell>
          <cell r="W158">
            <v>2886.7301147791432</v>
          </cell>
          <cell r="X158">
            <v>288.67301147791432</v>
          </cell>
          <cell r="Y158">
            <v>3175.4031262570575</v>
          </cell>
          <cell r="Z158">
            <v>433.00951721687147</v>
          </cell>
          <cell r="AA158">
            <v>48.112168579652383</v>
          </cell>
          <cell r="AB158">
            <v>23.057832511738386</v>
          </cell>
          <cell r="AC158">
            <v>1</v>
          </cell>
          <cell r="AD158">
            <v>7.2709252377443985</v>
          </cell>
          <cell r="AE158">
            <v>11.697944364119929</v>
          </cell>
          <cell r="AF158">
            <v>2.5216021268161626</v>
          </cell>
          <cell r="AG158">
            <v>3.5638643392335099</v>
          </cell>
          <cell r="AH158" t="e">
            <v>#N/A</v>
          </cell>
          <cell r="AI158">
            <v>48.112168579652383</v>
          </cell>
          <cell r="AJ158">
            <v>1</v>
          </cell>
          <cell r="AK158">
            <v>48.112168579652383</v>
          </cell>
        </row>
        <row r="159">
          <cell r="A159" t="str">
            <v>L067</v>
          </cell>
          <cell r="B159" t="str">
            <v>MBO + LI</v>
          </cell>
          <cell r="C159" t="str">
            <v>PEOLEII09MBOCTCS01</v>
          </cell>
          <cell r="D159" t="str">
            <v>SANTA ROSA Y MALACAS</v>
          </cell>
          <cell r="E159" t="str">
            <v>NEMO MENSUAL EQUIPOS ELECTRICOS</v>
          </cell>
          <cell r="F159" t="str">
            <v>MBO:
Toma de datos horometros motores
Inspección sal deshumedecedora trafos y ductos</v>
          </cell>
          <cell r="G159" t="str">
            <v>LEII0900</v>
          </cell>
          <cell r="H159" t="str">
            <v>NUM</v>
          </cell>
          <cell r="I159">
            <v>1</v>
          </cell>
          <cell r="J159">
            <v>9</v>
          </cell>
          <cell r="K159">
            <v>2</v>
          </cell>
          <cell r="L159">
            <v>18</v>
          </cell>
          <cell r="M159" t="str">
            <v>NO</v>
          </cell>
          <cell r="N159">
            <v>0</v>
          </cell>
          <cell r="O159">
            <v>12</v>
          </cell>
          <cell r="P159">
            <v>12</v>
          </cell>
          <cell r="Q159">
            <v>0</v>
          </cell>
          <cell r="R159">
            <v>36</v>
          </cell>
          <cell r="S159">
            <v>36</v>
          </cell>
          <cell r="T159"/>
          <cell r="U159">
            <v>550.54440000000011</v>
          </cell>
          <cell r="V159">
            <v>550.54440000000011</v>
          </cell>
          <cell r="W159">
            <v>0</v>
          </cell>
          <cell r="X159">
            <v>19819.598400000003</v>
          </cell>
          <cell r="Y159">
            <v>19819.598400000003</v>
          </cell>
          <cell r="Z159">
            <v>19819.598400000003</v>
          </cell>
          <cell r="AA159">
            <v>550.54440000000011</v>
          </cell>
          <cell r="AB159">
            <v>23.057832511738386</v>
          </cell>
          <cell r="AC159">
            <v>18</v>
          </cell>
          <cell r="AD159">
            <v>25.247682309888461</v>
          </cell>
          <cell r="AE159">
            <v>40.620137510267263</v>
          </cell>
          <cell r="AF159">
            <v>28.854528301886798</v>
          </cell>
          <cell r="AG159">
            <v>40.781066666666675</v>
          </cell>
          <cell r="AH159" t="e">
            <v>#N/A</v>
          </cell>
          <cell r="AI159">
            <v>550.54440000000011</v>
          </cell>
          <cell r="AJ159">
            <v>18</v>
          </cell>
          <cell r="AK159">
            <v>30.585800000000006</v>
          </cell>
        </row>
        <row r="160">
          <cell r="A160" t="str">
            <v>L075</v>
          </cell>
          <cell r="B160" t="str">
            <v>MBO + LI</v>
          </cell>
          <cell r="C160" t="str">
            <v>PEOMMIM01MBOEQIC01</v>
          </cell>
          <cell r="D160" t="str">
            <v>VENTANILLA, SANTA ROSA Y MALACAS</v>
          </cell>
          <cell r="E160" t="str">
            <v>MBO MENSUAL  EQUIPOS INSTRUMENTACION</v>
          </cell>
          <cell r="F160" t="str">
            <v>MBO:
Inspección de presión de gas helio y gas de calibración del cromatógrafo.
Inspección estado y alarmas del CEMS y presión de gases de calibración y otros.
Inspección de tableros de control de sistema contra incendio
Inspección de correcto funcionamiento de manómetros, termómetros indicadores de nivel y visores de flujo de aceite
Veririfación de fugas de aire de instrumentos</v>
          </cell>
          <cell r="G160" t="str">
            <v>MMIM0100</v>
          </cell>
          <cell r="H160" t="str">
            <v>NUM</v>
          </cell>
          <cell r="I160">
            <v>1</v>
          </cell>
          <cell r="J160">
            <v>9</v>
          </cell>
          <cell r="K160">
            <v>2</v>
          </cell>
          <cell r="L160">
            <v>18</v>
          </cell>
          <cell r="M160" t="str">
            <v>NO</v>
          </cell>
          <cell r="N160">
            <v>24</v>
          </cell>
          <cell r="O160">
            <v>24</v>
          </cell>
          <cell r="P160">
            <v>24</v>
          </cell>
          <cell r="Q160">
            <v>72</v>
          </cell>
          <cell r="R160">
            <v>72</v>
          </cell>
          <cell r="S160">
            <v>72</v>
          </cell>
          <cell r="T160">
            <v>852.23942667791584</v>
          </cell>
          <cell r="U160">
            <v>852.23942667791584</v>
          </cell>
          <cell r="V160">
            <v>852.23942667791584</v>
          </cell>
          <cell r="W160">
            <v>61361.238720809939</v>
          </cell>
          <cell r="X160">
            <v>61361.238720809939</v>
          </cell>
          <cell r="Y160">
            <v>122722.47744161988</v>
          </cell>
          <cell r="Z160">
            <v>61361.238720809939</v>
          </cell>
          <cell r="AA160">
            <v>852.23942667791584</v>
          </cell>
          <cell r="AB160">
            <v>23.466564118731693</v>
          </cell>
          <cell r="AC160">
            <v>18</v>
          </cell>
          <cell r="AD160">
            <v>123.44282541580456</v>
          </cell>
          <cell r="AE160">
            <v>198.60296408601508</v>
          </cell>
          <cell r="AF160">
            <v>44.666636618339403</v>
          </cell>
          <cell r="AG160">
            <v>63.128846420586363</v>
          </cell>
          <cell r="AH160" t="e">
            <v>#N/A</v>
          </cell>
          <cell r="AI160">
            <v>852.23942667791584</v>
          </cell>
          <cell r="AJ160">
            <v>18</v>
          </cell>
          <cell r="AK160">
            <v>47.346634815439771</v>
          </cell>
        </row>
        <row r="161">
          <cell r="A161" t="str">
            <v>L068</v>
          </cell>
          <cell r="B161" t="str">
            <v>MBO + LI</v>
          </cell>
          <cell r="C161" t="str">
            <v>PEOLEII09MBOCTCS02</v>
          </cell>
          <cell r="D161" t="str">
            <v>SANTA ROSA Y MALACAS</v>
          </cell>
          <cell r="E161" t="str">
            <v>NEMO SEMESTRAL EQUIPOS ELECTRICOS</v>
          </cell>
          <cell r="F161" t="str">
            <v>MBO:
Inspección de aisladores, transformadores, ductos, barras, tableros MCC
Termografia transformadores, ductos, barras, tableros MCC, heater tanques, calefacción turbina</v>
          </cell>
          <cell r="G161" t="str">
            <v>LEII0900</v>
          </cell>
          <cell r="H161" t="str">
            <v>NUM</v>
          </cell>
          <cell r="I161">
            <v>1</v>
          </cell>
          <cell r="J161">
            <v>9</v>
          </cell>
          <cell r="K161">
            <v>2</v>
          </cell>
          <cell r="L161">
            <v>18</v>
          </cell>
          <cell r="M161" t="str">
            <v>NO</v>
          </cell>
          <cell r="N161">
            <v>0</v>
          </cell>
          <cell r="O161">
            <v>2</v>
          </cell>
          <cell r="P161">
            <v>2</v>
          </cell>
          <cell r="Q161">
            <v>0</v>
          </cell>
          <cell r="R161">
            <v>6</v>
          </cell>
          <cell r="S161">
            <v>6</v>
          </cell>
          <cell r="T161"/>
          <cell r="U161">
            <v>550.54440000000045</v>
          </cell>
          <cell r="V161">
            <v>550.54440000000045</v>
          </cell>
          <cell r="W161">
            <v>0</v>
          </cell>
          <cell r="X161">
            <v>3303.2664000000027</v>
          </cell>
          <cell r="Y161">
            <v>3303.2664000000027</v>
          </cell>
          <cell r="Z161">
            <v>3303.2664000000027</v>
          </cell>
          <cell r="AA161">
            <v>550.54440000000045</v>
          </cell>
          <cell r="AB161">
            <v>23.057832511738386</v>
          </cell>
          <cell r="AC161">
            <v>18</v>
          </cell>
          <cell r="AD161">
            <v>25.247682309888575</v>
          </cell>
          <cell r="AE161">
            <v>40.62013751026744</v>
          </cell>
          <cell r="AF161">
            <v>28.854528301886816</v>
          </cell>
          <cell r="AG161">
            <v>40.781066666666703</v>
          </cell>
          <cell r="AH161" t="e">
            <v>#N/A</v>
          </cell>
          <cell r="AI161">
            <v>550.54440000000045</v>
          </cell>
          <cell r="AJ161">
            <v>18</v>
          </cell>
          <cell r="AK161">
            <v>30.585800000000024</v>
          </cell>
        </row>
        <row r="162">
          <cell r="A162" t="str">
            <v>L001</v>
          </cell>
          <cell r="B162" t="str">
            <v>MBO + LI</v>
          </cell>
          <cell r="C162" t="str">
            <v>PEOMMIM0100MBOCCV1</v>
          </cell>
          <cell r="D162" t="str">
            <v>VENTANILLA</v>
          </cell>
          <cell r="E162" t="str">
            <v>NEMO DIARIO VENTANILLA</v>
          </cell>
          <cell r="F162" t="str">
            <v>MBO: INSPECCION, REGISTRO VIBRACIONES (RMS), CONTROL TEMPERATURAS, ETC. REPORTE SEMANAL DE CONTROL Y SEGUIMIENTO DE TENDENCIAS.</v>
          </cell>
          <cell r="G162" t="str">
            <v>MMIM0100</v>
          </cell>
          <cell r="H162" t="str">
            <v>NUM</v>
          </cell>
          <cell r="I162">
            <v>1</v>
          </cell>
          <cell r="J162">
            <v>9</v>
          </cell>
          <cell r="K162">
            <v>1</v>
          </cell>
          <cell r="L162">
            <v>9</v>
          </cell>
          <cell r="M162" t="str">
            <v>NO</v>
          </cell>
          <cell r="N162">
            <v>260</v>
          </cell>
          <cell r="O162">
            <v>0</v>
          </cell>
          <cell r="P162">
            <v>0</v>
          </cell>
          <cell r="Q162">
            <v>780</v>
          </cell>
          <cell r="R162">
            <v>0</v>
          </cell>
          <cell r="S162">
            <v>0</v>
          </cell>
          <cell r="T162">
            <v>343.55452207762852</v>
          </cell>
          <cell r="U162"/>
          <cell r="V162">
            <v>0</v>
          </cell>
          <cell r="W162">
            <v>267972.52722055023</v>
          </cell>
          <cell r="X162">
            <v>0</v>
          </cell>
          <cell r="Y162">
            <v>267972.52722055023</v>
          </cell>
          <cell r="Z162">
            <v>0</v>
          </cell>
          <cell r="AA162">
            <v>343.55452207762852</v>
          </cell>
          <cell r="AB162">
            <v>16.258781599143944</v>
          </cell>
          <cell r="AC162">
            <v>9</v>
          </cell>
          <cell r="AD162">
            <v>53.083638324407168</v>
          </cell>
          <cell r="AE162">
            <v>100.68736403873801</v>
          </cell>
          <cell r="AF162">
            <v>18.006002205326439</v>
          </cell>
          <cell r="AG162">
            <v>25.448483116861372</v>
          </cell>
          <cell r="AH162" t="str">
            <v>MBO</v>
          </cell>
          <cell r="AI162">
            <v>343.55452207762852</v>
          </cell>
          <cell r="AJ162">
            <v>9</v>
          </cell>
          <cell r="AK162">
            <v>38.172724675292059</v>
          </cell>
        </row>
        <row r="163">
          <cell r="A163" t="str">
            <v>L003</v>
          </cell>
          <cell r="B163" t="str">
            <v>MBO + LI</v>
          </cell>
          <cell r="C163" t="str">
            <v>PEOMMIM0100MBOCTM1</v>
          </cell>
          <cell r="D163" t="str">
            <v>MALACAS</v>
          </cell>
          <cell r="E163" t="str">
            <v>NEMO DIARIO MALACAS</v>
          </cell>
          <cell r="F163" t="str">
            <v>MBO: Inspección, registro de vibraciones (rms), control de temperaturas. Reporte semanal de control y seguimiento de tendencias</v>
          </cell>
          <cell r="G163" t="str">
            <v>MMIM0100</v>
          </cell>
          <cell r="H163" t="str">
            <v>NUM</v>
          </cell>
          <cell r="I163">
            <v>1</v>
          </cell>
          <cell r="J163">
            <v>9</v>
          </cell>
          <cell r="K163">
            <v>1</v>
          </cell>
          <cell r="L163">
            <v>9</v>
          </cell>
          <cell r="M163" t="str">
            <v>NO</v>
          </cell>
          <cell r="N163">
            <v>0</v>
          </cell>
          <cell r="O163">
            <v>0</v>
          </cell>
          <cell r="P163">
            <v>260</v>
          </cell>
          <cell r="Q163">
            <v>0</v>
          </cell>
          <cell r="R163">
            <v>0</v>
          </cell>
          <cell r="S163">
            <v>780</v>
          </cell>
          <cell r="T163"/>
          <cell r="U163"/>
          <cell r="V163">
            <v>352.64329975682534</v>
          </cell>
          <cell r="W163">
            <v>0</v>
          </cell>
          <cell r="X163">
            <v>0</v>
          </cell>
          <cell r="Y163">
            <v>0</v>
          </cell>
          <cell r="Z163">
            <v>275061.77381032379</v>
          </cell>
          <cell r="AA163">
            <v>352.64329975682534</v>
          </cell>
          <cell r="AB163">
            <v>16.258781599143944</v>
          </cell>
          <cell r="AC163">
            <v>9</v>
          </cell>
          <cell r="AD163">
            <v>64.319935697282389</v>
          </cell>
          <cell r="AE163">
            <v>97.390250522603523</v>
          </cell>
          <cell r="AF163">
            <v>18.482353236730887</v>
          </cell>
          <cell r="AG163">
            <v>26.121725907912989</v>
          </cell>
          <cell r="AH163" t="str">
            <v>MBO</v>
          </cell>
          <cell r="AI163">
            <v>352.64329975682534</v>
          </cell>
          <cell r="AJ163">
            <v>9</v>
          </cell>
          <cell r="AK163">
            <v>39.182588861869483</v>
          </cell>
        </row>
        <row r="164">
          <cell r="A164" t="str">
            <v>L002</v>
          </cell>
          <cell r="B164" t="str">
            <v>MBO + LI</v>
          </cell>
          <cell r="C164" t="str">
            <v>PEOMMIM0100MBOCVSR</v>
          </cell>
          <cell r="D164" t="str">
            <v>SANTA ROSA</v>
          </cell>
          <cell r="E164" t="str">
            <v>NEMO DIARIO SANTA ROSA</v>
          </cell>
          <cell r="F164" t="str">
            <v>MBO:  Toma de vibraciones. Reportes semanal de control y seguimiento de tendencias</v>
          </cell>
          <cell r="G164" t="str">
            <v>MMIM0100</v>
          </cell>
          <cell r="H164" t="str">
            <v>NUM</v>
          </cell>
          <cell r="I164">
            <v>1</v>
          </cell>
          <cell r="J164">
            <v>9</v>
          </cell>
          <cell r="K164">
            <v>1</v>
          </cell>
          <cell r="L164">
            <v>9</v>
          </cell>
          <cell r="M164" t="str">
            <v>NO</v>
          </cell>
          <cell r="N164">
            <v>0</v>
          </cell>
          <cell r="O164">
            <v>260</v>
          </cell>
          <cell r="P164">
            <v>0</v>
          </cell>
          <cell r="Q164">
            <v>0</v>
          </cell>
          <cell r="R164">
            <v>780</v>
          </cell>
          <cell r="S164">
            <v>0</v>
          </cell>
          <cell r="T164"/>
          <cell r="U164">
            <v>356.24057320497957</v>
          </cell>
          <cell r="V164">
            <v>0</v>
          </cell>
          <cell r="W164">
            <v>0</v>
          </cell>
          <cell r="X164">
            <v>277867.64709988405</v>
          </cell>
          <cell r="Y164">
            <v>277867.64709988405</v>
          </cell>
          <cell r="Z164">
            <v>0</v>
          </cell>
          <cell r="AA164">
            <v>356.24057320497957</v>
          </cell>
          <cell r="AB164">
            <v>16.258781599143944</v>
          </cell>
          <cell r="AC164">
            <v>9</v>
          </cell>
          <cell r="AD164">
            <v>63.18931634150568</v>
          </cell>
          <cell r="AE164">
            <v>101.66314228242832</v>
          </cell>
          <cell r="AF164">
            <v>18.670889580973771</v>
          </cell>
          <cell r="AG164">
            <v>26.388190607776266</v>
          </cell>
          <cell r="AH164" t="str">
            <v>MBO</v>
          </cell>
          <cell r="AI164">
            <v>356.24057320497957</v>
          </cell>
          <cell r="AJ164">
            <v>9</v>
          </cell>
          <cell r="AK164">
            <v>39.5822859116644</v>
          </cell>
        </row>
        <row r="165">
          <cell r="A165" t="str">
            <v>P006</v>
          </cell>
          <cell r="B165" t="str">
            <v>PREV</v>
          </cell>
          <cell r="C165" t="str">
            <v>PEOLEII0900MECAT05</v>
          </cell>
          <cell r="D165" t="str">
            <v>VENTANILLA</v>
          </cell>
          <cell r="E165" t="str">
            <v>P.CATODICA CONDENSADOR</v>
          </cell>
          <cell r="F165" t="str">
            <v>MANTENIMIENTO DE RECTIFICADOR, VERIFICACIÓN DE ANODOS, CONTINUIDAD ELÉCTRICA, ESTADO DE COMPONENTES. MEDICIONES PARÁMETROS: POTENCIALES ON/OFF</v>
          </cell>
          <cell r="G165" t="str">
            <v>LEII0900</v>
          </cell>
          <cell r="H165" t="str">
            <v>NUM</v>
          </cell>
          <cell r="I165">
            <v>1</v>
          </cell>
          <cell r="J165">
            <v>4</v>
          </cell>
          <cell r="K165">
            <v>2</v>
          </cell>
          <cell r="L165">
            <v>8</v>
          </cell>
          <cell r="M165" t="str">
            <v>NO</v>
          </cell>
          <cell r="N165">
            <v>2</v>
          </cell>
          <cell r="O165">
            <v>0</v>
          </cell>
          <cell r="P165">
            <v>0</v>
          </cell>
          <cell r="Q165">
            <v>6</v>
          </cell>
          <cell r="R165">
            <v>0</v>
          </cell>
          <cell r="S165">
            <v>0</v>
          </cell>
          <cell r="T165">
            <v>394.23537732339122</v>
          </cell>
          <cell r="U165"/>
          <cell r="V165">
            <v>0</v>
          </cell>
          <cell r="W165">
            <v>2365.4122639403472</v>
          </cell>
          <cell r="X165">
            <v>0</v>
          </cell>
          <cell r="Y165">
            <v>2365.4122639403472</v>
          </cell>
          <cell r="Z165">
            <v>0</v>
          </cell>
          <cell r="AA165">
            <v>394.23537732339122</v>
          </cell>
          <cell r="AB165">
            <v>23.057832511738386</v>
          </cell>
          <cell r="AC165">
            <v>8</v>
          </cell>
          <cell r="AD165">
            <v>56.864395690855247</v>
          </cell>
          <cell r="AE165">
            <v>103.04346948025447</v>
          </cell>
          <cell r="AF165">
            <v>20.662231515901006</v>
          </cell>
          <cell r="AG165">
            <v>29.202620542473426</v>
          </cell>
          <cell r="AH165" t="str">
            <v>Electricidad</v>
          </cell>
          <cell r="AI165">
            <v>394.23537732339122</v>
          </cell>
          <cell r="AJ165">
            <v>8</v>
          </cell>
          <cell r="AK165">
            <v>49.279422165423902</v>
          </cell>
        </row>
        <row r="166">
          <cell r="A166" t="str">
            <v>P063</v>
          </cell>
          <cell r="B166" t="str">
            <v>PREV</v>
          </cell>
          <cell r="C166" t="str">
            <v>PEOMMIM0100MMGRU11</v>
          </cell>
          <cell r="D166" t="str">
            <v>VENTANILLA Y MALACAS</v>
          </cell>
          <cell r="E166" t="str">
            <v>MANTENIMIENTO DE PUENTE GRUA</v>
          </cell>
          <cell r="F166" t="str">
            <v>MANTENIMIENTO DE PUENTE GRÚA, LIMPIEZA INTERNA Y ENGRASE DE ELEMENTOS ROTATIVOS, REEMPLAZO DE RODAMIENTOS Y BOCINAS (A CONDICIÓN), LIMPIEZA EXTERNA Y LUBRICACIÓN DE CADENAS DE CARGA, PRUEBAS OPERATIVAS.</v>
          </cell>
          <cell r="G166" t="str">
            <v>MMIM0100</v>
          </cell>
          <cell r="H166" t="str">
            <v>NUM</v>
          </cell>
          <cell r="I166">
            <v>1</v>
          </cell>
          <cell r="J166">
            <v>10</v>
          </cell>
          <cell r="K166">
            <v>2</v>
          </cell>
          <cell r="L166">
            <v>20</v>
          </cell>
          <cell r="M166" t="str">
            <v>SI</v>
          </cell>
          <cell r="N166">
            <v>5</v>
          </cell>
          <cell r="O166">
            <v>0</v>
          </cell>
          <cell r="P166">
            <v>2</v>
          </cell>
          <cell r="Q166">
            <v>15</v>
          </cell>
          <cell r="R166">
            <v>0</v>
          </cell>
          <cell r="S166">
            <v>6</v>
          </cell>
          <cell r="T166">
            <v>988.01462189060589</v>
          </cell>
          <cell r="U166"/>
          <cell r="V166">
            <v>988.01462189060589</v>
          </cell>
          <cell r="W166">
            <v>14820.219328359088</v>
          </cell>
          <cell r="X166">
            <v>0</v>
          </cell>
          <cell r="Y166">
            <v>14820.219328359088</v>
          </cell>
          <cell r="Z166">
            <v>5928.0877313436358</v>
          </cell>
          <cell r="AA166">
            <v>988.01462189060589</v>
          </cell>
          <cell r="AB166">
            <v>19.171538486527368</v>
          </cell>
          <cell r="AC166">
            <v>20</v>
          </cell>
          <cell r="AD166">
            <v>170.55451526886429</v>
          </cell>
          <cell r="AE166">
            <v>309.06033160663827</v>
          </cell>
          <cell r="AF166">
            <v>51.782736996362992</v>
          </cell>
          <cell r="AG166">
            <v>73.186268288193034</v>
          </cell>
          <cell r="AH166" t="str">
            <v>Mecánica</v>
          </cell>
          <cell r="AI166">
            <v>988.01462189060589</v>
          </cell>
          <cell r="AJ166">
            <v>20</v>
          </cell>
          <cell r="AK166">
            <v>49.400731094530293</v>
          </cell>
        </row>
        <row r="167">
          <cell r="A167" t="str">
            <v>P083</v>
          </cell>
          <cell r="B167" t="str">
            <v>PREV</v>
          </cell>
          <cell r="C167" t="str">
            <v>WWOMMIM01060500100</v>
          </cell>
          <cell r="D167" t="str">
            <v>VENTANILLA, SANTA ROSA Y MALACAS</v>
          </cell>
          <cell r="E167" t="str">
            <v>SUSTITUCIÓN DE FILTROS ACEITE</v>
          </cell>
          <cell r="F167" t="str">
            <v>MANTENIMIENTO DE LOS FILTROS INSTALADOS EN EL CIRCUITO DE ACEITE DE MAQUINARIA PRINCIPAL (PAA, VAG, VDS, FILTROS RET, ACEITE DE TURBINA, FILTROS ACEITE DE PIE DE TURBINA), CON SUSTITUCIÓN DE LOS ELEMENTOS INTERNOS DEL FILTRO. LOS FILTROS SERÁN SUMINISTRADOS APARTE DEL SERVICIO. LA ACTIVIDAD SE ENTIENDE EXTENDIDA A UN ÚNICO CONTENEDOR CON 1 CARTUCHO FILTRANTE. INCLUYE LA LIMPIEZA INTERIOR, DESMONTAJE Y REEMPLAZO. TAMBIÉN SE APLICA A LA SUSTITUCIÓN DE SISTEMAS DE FILTROS MÓVILES (PALL O KLEENTEK)</v>
          </cell>
          <cell r="G167" t="str">
            <v>MMIM0106</v>
          </cell>
          <cell r="H167" t="str">
            <v>NUM</v>
          </cell>
          <cell r="I167">
            <v>1</v>
          </cell>
          <cell r="J167">
            <v>0.5</v>
          </cell>
          <cell r="K167">
            <v>2</v>
          </cell>
          <cell r="L167">
            <v>1</v>
          </cell>
          <cell r="M167" t="str">
            <v>NO</v>
          </cell>
          <cell r="N167">
            <v>32</v>
          </cell>
          <cell r="O167">
            <v>14</v>
          </cell>
          <cell r="P167">
            <v>18</v>
          </cell>
          <cell r="Q167">
            <v>96</v>
          </cell>
          <cell r="R167">
            <v>42</v>
          </cell>
          <cell r="S167">
            <v>54</v>
          </cell>
          <cell r="T167">
            <v>43.966239324407312</v>
          </cell>
          <cell r="U167">
            <v>43.966239324407312</v>
          </cell>
          <cell r="V167">
            <v>43.966239324407312</v>
          </cell>
          <cell r="W167">
            <v>4220.7589751431024</v>
          </cell>
          <cell r="X167">
            <v>1846.5820516251072</v>
          </cell>
          <cell r="Y167">
            <v>6067.3410267682093</v>
          </cell>
          <cell r="Z167">
            <v>2374.176923517995</v>
          </cell>
          <cell r="AA167">
            <v>43.966239324407312</v>
          </cell>
          <cell r="AB167">
            <v>19.171538486527368</v>
          </cell>
          <cell r="AC167">
            <v>1</v>
          </cell>
          <cell r="AD167">
            <v>6.8396189704104033</v>
          </cell>
          <cell r="AE167">
            <v>12.394013161866662</v>
          </cell>
          <cell r="AF167">
            <v>2.304310237128266</v>
          </cell>
          <cell r="AG167">
            <v>3.2567584684746156</v>
          </cell>
          <cell r="AH167" t="str">
            <v>Mecánica</v>
          </cell>
          <cell r="AI167">
            <v>43.966239324407312</v>
          </cell>
          <cell r="AJ167">
            <v>1</v>
          </cell>
          <cell r="AK167">
            <v>43.966239324407312</v>
          </cell>
        </row>
        <row r="168">
          <cell r="A168" t="str">
            <v>C254</v>
          </cell>
          <cell r="B168" t="str">
            <v>COND</v>
          </cell>
          <cell r="C168" t="str">
            <v>WWOMMIM01060500100</v>
          </cell>
          <cell r="D168" t="str">
            <v>VENTANILLA, SANTA ROSA Y MALACAS</v>
          </cell>
          <cell r="E168" t="str">
            <v>SUSTITUCIÓN DE FILTROS ACEITE</v>
          </cell>
          <cell r="F168" t="str">
            <v>MANTENIMIENTO DE LOS FILTROS INSTALADOS EN EL CIRCUITO DE ACEITE DE MAQUINARIA PRINCIPAL (PAA, VAG, VDS, FILTROS RET, ACEITE DE TURBINA, FILTROS ACEITE DE PIE DE TURBINA), CON SUSTITUCIÓN DE LOS ELEMENTOS INTERNOS DEL FILTRO. LOS FILTROS SERÁN SUMINISTRADOS APARTE DEL SERVICIO. LA ACTIVIDAD SE ENTIENDE EXTENDIDA A UN ÚNICO CONTENEDOR CON 1 CARTUCHO FILTRANTE. INCLUYE LA LIMPIEZA INTERIOR, DESMONTAJE Y REEMPLAZO. TAMBIÉN SE APLICA A LA SUSTITUCIÓN DE SISTEMAS DE FILTROS MÓVILES (PALL O KLEENTEK)</v>
          </cell>
          <cell r="G168" t="str">
            <v>MMIM0100</v>
          </cell>
          <cell r="H168" t="str">
            <v>NUM</v>
          </cell>
          <cell r="I168">
            <v>1</v>
          </cell>
          <cell r="J168">
            <v>0.5</v>
          </cell>
          <cell r="K168">
            <v>2</v>
          </cell>
          <cell r="L168">
            <v>1</v>
          </cell>
          <cell r="M168" t="str">
            <v>NO</v>
          </cell>
          <cell r="N168">
            <v>1</v>
          </cell>
          <cell r="O168">
            <v>1</v>
          </cell>
          <cell r="P168">
            <v>1</v>
          </cell>
          <cell r="Q168">
            <v>3</v>
          </cell>
          <cell r="R168">
            <v>3</v>
          </cell>
          <cell r="S168">
            <v>3</v>
          </cell>
          <cell r="T168">
            <v>42.817008821628178</v>
          </cell>
          <cell r="U168">
            <v>42.817008821628178</v>
          </cell>
          <cell r="V168">
            <v>42.817008821628178</v>
          </cell>
          <cell r="W168">
            <v>128.45102646488454</v>
          </cell>
          <cell r="X168">
            <v>128.45102646488454</v>
          </cell>
          <cell r="Y168">
            <v>256.90205292976907</v>
          </cell>
          <cell r="Z168">
            <v>128.45102646488454</v>
          </cell>
          <cell r="AA168">
            <v>42.817008821628178</v>
          </cell>
          <cell r="AB168">
            <v>19.171538486527368</v>
          </cell>
          <cell r="AC168">
            <v>1</v>
          </cell>
          <cell r="AD168">
            <v>6.9876191645819352</v>
          </cell>
          <cell r="AE168">
            <v>11.242142856951649</v>
          </cell>
          <cell r="AF168">
            <v>2.2440780304836574</v>
          </cell>
          <cell r="AG168">
            <v>3.171630283083569</v>
          </cell>
          <cell r="AH168" t="str">
            <v>Mecánica</v>
          </cell>
          <cell r="AI168">
            <v>42.817008821628178</v>
          </cell>
          <cell r="AJ168">
            <v>1</v>
          </cell>
          <cell r="AK168">
            <v>42.817008821628178</v>
          </cell>
        </row>
        <row r="169">
          <cell r="A169" t="str">
            <v>P064</v>
          </cell>
          <cell r="B169" t="str">
            <v>PREV</v>
          </cell>
          <cell r="C169" t="str">
            <v>PEOMMIM0100MMGRU15</v>
          </cell>
          <cell r="D169" t="str">
            <v>VENTANILLA</v>
          </cell>
          <cell r="E169" t="str">
            <v>MANTENIMIENTO DE PUENTE GRÚA Y CANASTILLA</v>
          </cell>
          <cell r="F169" t="str">
            <v>MANTENIMIENTO DE CANASTILLA, CARRO TROLLEY EN VIGA Y PUENTE GRÚA. DESMONTAJE Y DESARMADO DE TROLLEY, LIMPIEZA INTERNA Y ENGRASE DE ELEMENTOS ROTATIVOS, REEMPLAZO DE RODAMIENTOS Y BOCINAS (A CONDICIÓN), PINTADO DE TROLLEY (SISTEMA BICAPA - EPÓXICO Y ACABADO POLIURETANO), LIMPIEZA EXTERNA Y LUBRICACIÓN DE CADENA DE CARGA, ARMADO Y MONTAJE DE TROLLEY, PRUEBAS OPERATIVAS.</v>
          </cell>
          <cell r="G169" t="str">
            <v>MMIM0100</v>
          </cell>
          <cell r="H169" t="str">
            <v>NUM</v>
          </cell>
          <cell r="I169">
            <v>1</v>
          </cell>
          <cell r="J169">
            <v>16</v>
          </cell>
          <cell r="K169">
            <v>2</v>
          </cell>
          <cell r="L169">
            <v>32</v>
          </cell>
          <cell r="M169" t="str">
            <v>SI</v>
          </cell>
          <cell r="N169">
            <v>8</v>
          </cell>
          <cell r="O169">
            <v>0</v>
          </cell>
          <cell r="P169">
            <v>0</v>
          </cell>
          <cell r="Q169">
            <v>24</v>
          </cell>
          <cell r="R169">
            <v>0</v>
          </cell>
          <cell r="S169">
            <v>0</v>
          </cell>
          <cell r="T169">
            <v>1580.8233950249692</v>
          </cell>
          <cell r="U169"/>
          <cell r="V169">
            <v>0</v>
          </cell>
          <cell r="W169">
            <v>37939.761480599263</v>
          </cell>
          <cell r="X169">
            <v>0</v>
          </cell>
          <cell r="Y169">
            <v>37939.761480599263</v>
          </cell>
          <cell r="Z169">
            <v>0</v>
          </cell>
          <cell r="AA169">
            <v>1580.8233950249692</v>
          </cell>
          <cell r="AB169">
            <v>19.171538486527368</v>
          </cell>
          <cell r="AC169">
            <v>32</v>
          </cell>
          <cell r="AD169">
            <v>272.88722443018281</v>
          </cell>
          <cell r="AE169">
            <v>494.49653057062108</v>
          </cell>
          <cell r="AF169">
            <v>82.85237919418077</v>
          </cell>
          <cell r="AG169">
            <v>117.09802926110882</v>
          </cell>
          <cell r="AH169" t="str">
            <v>Mecánica</v>
          </cell>
          <cell r="AI169">
            <v>1580.8233950249692</v>
          </cell>
          <cell r="AJ169">
            <v>32</v>
          </cell>
          <cell r="AK169">
            <v>49.400731094530286</v>
          </cell>
        </row>
        <row r="170">
          <cell r="A170" t="str">
            <v>C057</v>
          </cell>
          <cell r="B170" t="str">
            <v>COND</v>
          </cell>
          <cell r="C170" t="str">
            <v>WWOLEII09080400400</v>
          </cell>
          <cell r="D170" t="str">
            <v>VENTANILLA, SANTA ROSA Y MALACAS</v>
          </cell>
          <cell r="E170" t="str">
            <v>BATER PLOMO: CORR SIMPLE BANCO 110/125 V</v>
          </cell>
          <cell r="F170" t="str">
            <v>MANTENIMIENTO CORRECTIVO SIMPLE - INTERVENCIÓNES EN ELEMENTOS DE PLOMO - ÁCIDO 110/125 (VER ITEM 1 DEL ANEXO TECNICO DE MANTENIMIENTO ELECTRICO)</v>
          </cell>
          <cell r="G170" t="str">
            <v>LEII0900</v>
          </cell>
          <cell r="H170" t="str">
            <v>NUM</v>
          </cell>
          <cell r="I170">
            <v>1</v>
          </cell>
          <cell r="J170">
            <v>0.1</v>
          </cell>
          <cell r="K170">
            <v>2</v>
          </cell>
          <cell r="L170">
            <v>0.2</v>
          </cell>
          <cell r="M170" t="str">
            <v>NO</v>
          </cell>
          <cell r="N170">
            <v>240</v>
          </cell>
          <cell r="O170">
            <v>180</v>
          </cell>
          <cell r="P170">
            <v>180</v>
          </cell>
          <cell r="Q170">
            <v>720</v>
          </cell>
          <cell r="R170">
            <v>540</v>
          </cell>
          <cell r="S170">
            <v>540</v>
          </cell>
          <cell r="T170">
            <v>9.6224337159304731</v>
          </cell>
          <cell r="U170">
            <v>9.6224337159304731</v>
          </cell>
          <cell r="V170">
            <v>9.6224337159304731</v>
          </cell>
          <cell r="W170">
            <v>6928.1522754699408</v>
          </cell>
          <cell r="X170">
            <v>5196.1142066024559</v>
          </cell>
          <cell r="Y170">
            <v>12124.266482072397</v>
          </cell>
          <cell r="Z170">
            <v>5196.1142066024559</v>
          </cell>
          <cell r="AA170">
            <v>9.6224337159304731</v>
          </cell>
          <cell r="AB170">
            <v>23.057832511738383</v>
          </cell>
          <cell r="AC170">
            <v>0.2</v>
          </cell>
          <cell r="AD170">
            <v>1.4541850475488782</v>
          </cell>
          <cell r="AE170">
            <v>2.3395888728239838</v>
          </cell>
          <cell r="AF170">
            <v>0.50432042536323229</v>
          </cell>
          <cell r="AG170">
            <v>0.71277286784670169</v>
          </cell>
          <cell r="AH170" t="str">
            <v>Electricidad</v>
          </cell>
          <cell r="AI170">
            <v>9.6224337159304731</v>
          </cell>
          <cell r="AJ170">
            <v>0.2</v>
          </cell>
          <cell r="AK170">
            <v>48.112168579652362</v>
          </cell>
        </row>
        <row r="171">
          <cell r="A171" t="str">
            <v>C058</v>
          </cell>
          <cell r="B171" t="str">
            <v>COND</v>
          </cell>
          <cell r="C171" t="str">
            <v>WWOLEII09080400200</v>
          </cell>
          <cell r="D171" t="str">
            <v>VENTANILLA, SANTA ROSA Y MALACAS</v>
          </cell>
          <cell r="E171" t="str">
            <v>BATER PLOMO: CORRECT SIMPLE BANCO 24 V</v>
          </cell>
          <cell r="F171" t="str">
            <v>MANTENIMIENTO CORRECTIVO SIMPLE - INTERVENCIÓNES EN ELEMENTOS DE PLOMO - ÁCIDO (VER ITEM 1 DEL ANEXO TECNICO DE MANTENIMIENTO ELECTRICO)</v>
          </cell>
          <cell r="G171" t="str">
            <v>LEII0900</v>
          </cell>
          <cell r="H171" t="str">
            <v>NUM</v>
          </cell>
          <cell r="I171">
            <v>1</v>
          </cell>
          <cell r="J171">
            <v>0.1</v>
          </cell>
          <cell r="K171">
            <v>2</v>
          </cell>
          <cell r="L171">
            <v>0.2</v>
          </cell>
          <cell r="M171" t="str">
            <v>NO</v>
          </cell>
          <cell r="N171">
            <v>48</v>
          </cell>
          <cell r="O171">
            <v>36</v>
          </cell>
          <cell r="P171">
            <v>36</v>
          </cell>
          <cell r="Q171">
            <v>144</v>
          </cell>
          <cell r="R171">
            <v>108</v>
          </cell>
          <cell r="S171">
            <v>108</v>
          </cell>
          <cell r="T171">
            <v>9.6224337159304731</v>
          </cell>
          <cell r="U171">
            <v>9.6224337159304731</v>
          </cell>
          <cell r="V171">
            <v>9.6224337159304731</v>
          </cell>
          <cell r="W171">
            <v>1385.6304550939881</v>
          </cell>
          <cell r="X171">
            <v>1039.2228413204912</v>
          </cell>
          <cell r="Y171">
            <v>2424.8532964144792</v>
          </cell>
          <cell r="Z171">
            <v>1039.2228413204912</v>
          </cell>
          <cell r="AA171">
            <v>9.6224337159304731</v>
          </cell>
          <cell r="AB171">
            <v>23.057832511738383</v>
          </cell>
          <cell r="AC171">
            <v>0.2</v>
          </cell>
          <cell r="AD171">
            <v>1.4541850475488782</v>
          </cell>
          <cell r="AE171">
            <v>2.3395888728239838</v>
          </cell>
          <cell r="AF171">
            <v>0.50432042536323229</v>
          </cell>
          <cell r="AG171">
            <v>0.71277286784670169</v>
          </cell>
          <cell r="AH171" t="str">
            <v>Electricidad</v>
          </cell>
          <cell r="AI171">
            <v>9.6224337159304731</v>
          </cell>
          <cell r="AJ171">
            <v>0.2</v>
          </cell>
          <cell r="AK171">
            <v>48.112168579652362</v>
          </cell>
        </row>
        <row r="172">
          <cell r="A172" t="str">
            <v>C055</v>
          </cell>
          <cell r="B172" t="str">
            <v>COND</v>
          </cell>
          <cell r="C172" t="str">
            <v>WWOLEII09080400800</v>
          </cell>
          <cell r="D172" t="str">
            <v>VENTANILLA, SANTA ROSA Y MALACAS</v>
          </cell>
          <cell r="E172" t="str">
            <v>BATER PLOMO: CONTR COMPL BANCO 110/125 V</v>
          </cell>
          <cell r="F172" t="str">
            <v>MANTENIMIENTO CORRECTIVO COMPLEJO - INTERVENCIÓNES EN ELEMENTOS DE PLOMO - ÁCIDO (VER ITEM 1 DEL ANEXO TECNICO DE MANTENIMIENTO ELECTRICO)</v>
          </cell>
          <cell r="G172" t="str">
            <v>LEII0900</v>
          </cell>
          <cell r="H172" t="str">
            <v>NUM</v>
          </cell>
          <cell r="I172">
            <v>1</v>
          </cell>
          <cell r="J172">
            <v>0.1</v>
          </cell>
          <cell r="K172">
            <v>2</v>
          </cell>
          <cell r="L172">
            <v>0.2</v>
          </cell>
          <cell r="M172" t="str">
            <v>NO</v>
          </cell>
          <cell r="N172">
            <v>240</v>
          </cell>
          <cell r="O172">
            <v>180</v>
          </cell>
          <cell r="P172">
            <v>180</v>
          </cell>
          <cell r="Q172">
            <v>720</v>
          </cell>
          <cell r="R172">
            <v>540</v>
          </cell>
          <cell r="S172">
            <v>540</v>
          </cell>
          <cell r="T172">
            <v>9.6224337159304749</v>
          </cell>
          <cell r="U172">
            <v>9.6224337159304749</v>
          </cell>
          <cell r="V172">
            <v>9.6224337159304749</v>
          </cell>
          <cell r="W172">
            <v>6928.1522754699417</v>
          </cell>
          <cell r="X172">
            <v>5196.1142066024568</v>
          </cell>
          <cell r="Y172">
            <v>12124.266482072399</v>
          </cell>
          <cell r="Z172">
            <v>5196.1142066024568</v>
          </cell>
          <cell r="AA172">
            <v>9.6224337159304749</v>
          </cell>
          <cell r="AB172">
            <v>23.057832511738383</v>
          </cell>
          <cell r="AC172">
            <v>0.2</v>
          </cell>
          <cell r="AD172">
            <v>1.4541850475488789</v>
          </cell>
          <cell r="AE172">
            <v>2.3395888728239846</v>
          </cell>
          <cell r="AF172">
            <v>0.50432042536323241</v>
          </cell>
          <cell r="AG172">
            <v>0.7127728678467018</v>
          </cell>
          <cell r="AH172" t="str">
            <v>Electricidad</v>
          </cell>
          <cell r="AI172">
            <v>9.6224337159304749</v>
          </cell>
          <cell r="AJ172">
            <v>0.2</v>
          </cell>
          <cell r="AK172">
            <v>48.112168579652369</v>
          </cell>
        </row>
        <row r="173">
          <cell r="A173" t="str">
            <v>C056</v>
          </cell>
          <cell r="B173" t="str">
            <v>COND</v>
          </cell>
          <cell r="C173" t="str">
            <v>WWOLEII09080400600</v>
          </cell>
          <cell r="D173" t="str">
            <v>VENTANILLA, SANTA ROSA Y MALACAS</v>
          </cell>
          <cell r="E173" t="str">
            <v>BATER PLOMO: CONTROL COMPLETO BANCO 24 V</v>
          </cell>
          <cell r="F173" t="str">
            <v>MANTENIMIENTO CORRECTIVO COMPLEJO - INTERVENCIÓNES EN ELEMENTOS DE PLOMO - ÁCIDO (VER ITEM 1 DEL ANEXO TECNICO DE MANTENIMIENTO ELECTRICO)</v>
          </cell>
          <cell r="G173" t="str">
            <v>LEII0900</v>
          </cell>
          <cell r="H173" t="str">
            <v>NUM</v>
          </cell>
          <cell r="I173">
            <v>1</v>
          </cell>
          <cell r="J173">
            <v>0.1</v>
          </cell>
          <cell r="K173">
            <v>2</v>
          </cell>
          <cell r="L173">
            <v>0.2</v>
          </cell>
          <cell r="M173" t="str">
            <v>NO</v>
          </cell>
          <cell r="N173">
            <v>48</v>
          </cell>
          <cell r="O173">
            <v>36</v>
          </cell>
          <cell r="P173">
            <v>36</v>
          </cell>
          <cell r="Q173">
            <v>144</v>
          </cell>
          <cell r="R173">
            <v>108</v>
          </cell>
          <cell r="S173">
            <v>108</v>
          </cell>
          <cell r="T173">
            <v>9.6224337159304785</v>
          </cell>
          <cell r="U173">
            <v>9.6224337159304785</v>
          </cell>
          <cell r="V173">
            <v>9.6224337159304785</v>
          </cell>
          <cell r="W173">
            <v>1385.630455093989</v>
          </cell>
          <cell r="X173">
            <v>1039.2228413204916</v>
          </cell>
          <cell r="Y173">
            <v>2424.8532964144806</v>
          </cell>
          <cell r="Z173">
            <v>1039.2228413204916</v>
          </cell>
          <cell r="AA173">
            <v>9.6224337159304785</v>
          </cell>
          <cell r="AB173">
            <v>23.057832511738383</v>
          </cell>
          <cell r="AC173">
            <v>0.2</v>
          </cell>
          <cell r="AD173">
            <v>1.45418504754888</v>
          </cell>
          <cell r="AE173">
            <v>2.3395888728239864</v>
          </cell>
          <cell r="AF173">
            <v>0.50432042536323263</v>
          </cell>
          <cell r="AG173">
            <v>0.71277286784670213</v>
          </cell>
          <cell r="AH173" t="str">
            <v>Electricidad</v>
          </cell>
          <cell r="AI173">
            <v>9.6224337159304785</v>
          </cell>
          <cell r="AJ173">
            <v>0.2</v>
          </cell>
          <cell r="AK173">
            <v>48.112168579652391</v>
          </cell>
        </row>
        <row r="174">
          <cell r="A174" t="str">
            <v>P033</v>
          </cell>
          <cell r="B174" t="str">
            <v>PREV</v>
          </cell>
          <cell r="C174" t="str">
            <v>WWOLEII09080401000</v>
          </cell>
          <cell r="D174" t="str">
            <v>SANTA ROSA Y MALACAS</v>
          </cell>
          <cell r="E174" t="str">
            <v>BATERÍAS ELEMENTOS DE GEL BANCO 24 VDC</v>
          </cell>
          <cell r="F174" t="str">
            <v>MANTENIMIENTO BATERÍAS - INTERVENCIÓNES EN ELEMENTOS DE GEL (VER ITEM 2 DEL ANEXO TECNICO DE MANTENIMIENTO ELECTRICO)</v>
          </cell>
          <cell r="G174" t="str">
            <v>LEII0908</v>
          </cell>
          <cell r="H174" t="str">
            <v>NUM</v>
          </cell>
          <cell r="I174">
            <v>1</v>
          </cell>
          <cell r="J174">
            <v>0.1</v>
          </cell>
          <cell r="K174">
            <v>2</v>
          </cell>
          <cell r="L174">
            <v>0.2</v>
          </cell>
          <cell r="M174" t="str">
            <v>NO</v>
          </cell>
          <cell r="N174">
            <v>0</v>
          </cell>
          <cell r="O174">
            <v>16</v>
          </cell>
          <cell r="P174">
            <v>144</v>
          </cell>
          <cell r="Q174">
            <v>0</v>
          </cell>
          <cell r="R174">
            <v>48</v>
          </cell>
          <cell r="S174">
            <v>432</v>
          </cell>
          <cell r="T174"/>
          <cell r="U174">
            <v>9.8521656977454484</v>
          </cell>
          <cell r="V174">
            <v>9.8521656977454484</v>
          </cell>
          <cell r="W174">
            <v>0</v>
          </cell>
          <cell r="X174">
            <v>472.90395349178152</v>
          </cell>
          <cell r="Y174">
            <v>472.90395349178152</v>
          </cell>
          <cell r="Z174">
            <v>4256.1355814260332</v>
          </cell>
          <cell r="AA174">
            <v>9.8521656977454484</v>
          </cell>
          <cell r="AB174">
            <v>23.057832511738383</v>
          </cell>
          <cell r="AC174">
            <v>0.2</v>
          </cell>
          <cell r="AD174">
            <v>1.4204547479352854</v>
          </cell>
          <cell r="AE174">
            <v>2.573993510151567</v>
          </cell>
          <cell r="AF174">
            <v>0.51636088562607174</v>
          </cell>
          <cell r="AG174">
            <v>0.72979005168484801</v>
          </cell>
          <cell r="AH174" t="str">
            <v>Electricidad</v>
          </cell>
          <cell r="AI174">
            <v>9.8521656977454484</v>
          </cell>
          <cell r="AJ174">
            <v>0.2</v>
          </cell>
          <cell r="AK174">
            <v>49.260828488727242</v>
          </cell>
        </row>
        <row r="175">
          <cell r="A175" t="str">
            <v>P034</v>
          </cell>
          <cell r="B175" t="str">
            <v>PREV</v>
          </cell>
          <cell r="C175" t="str">
            <v>WWOLEII09080401100</v>
          </cell>
          <cell r="D175" t="str">
            <v>MALACAS</v>
          </cell>
          <cell r="E175" t="str">
            <v>BATERÍAS ELEMENTOS DE GEL BANCO 48 VDC</v>
          </cell>
          <cell r="F175" t="str">
            <v>MANTENIMIENTO BATERÍAS - INTERVENCIÓNES EN ELEMENTOS DE GEL (VER ITEM 2 DEL ANEXO TECNICO DE MANTENIMIENTO ELECTRICO)</v>
          </cell>
          <cell r="G175" t="str">
            <v>LEII0908</v>
          </cell>
          <cell r="H175" t="str">
            <v>NUM</v>
          </cell>
          <cell r="I175">
            <v>1</v>
          </cell>
          <cell r="J175">
            <v>0.1</v>
          </cell>
          <cell r="K175">
            <v>2</v>
          </cell>
          <cell r="L175">
            <v>0.2</v>
          </cell>
          <cell r="M175" t="str">
            <v>NO</v>
          </cell>
          <cell r="N175">
            <v>0</v>
          </cell>
          <cell r="O175">
            <v>0</v>
          </cell>
          <cell r="P175">
            <v>100</v>
          </cell>
          <cell r="Q175">
            <v>0</v>
          </cell>
          <cell r="R175">
            <v>0</v>
          </cell>
          <cell r="S175">
            <v>300</v>
          </cell>
          <cell r="T175"/>
          <cell r="U175"/>
          <cell r="V175">
            <v>9.7295639847332449</v>
          </cell>
          <cell r="W175">
            <v>0</v>
          </cell>
          <cell r="X175">
            <v>0</v>
          </cell>
          <cell r="Y175">
            <v>0</v>
          </cell>
          <cell r="Z175">
            <v>2918.8691954199735</v>
          </cell>
          <cell r="AA175">
            <v>9.7295639847332449</v>
          </cell>
          <cell r="AB175">
            <v>24.198485616650515</v>
          </cell>
          <cell r="AC175">
            <v>0.2</v>
          </cell>
          <cell r="AD175">
            <v>1.4554494453829072</v>
          </cell>
          <cell r="AE175">
            <v>2.2037737533810176</v>
          </cell>
          <cell r="AF175">
            <v>0.50993521932564168</v>
          </cell>
          <cell r="AG175">
            <v>0.72070844331357364</v>
          </cell>
          <cell r="AH175" t="str">
            <v>Electricidad</v>
          </cell>
          <cell r="AI175">
            <v>9.7295639847332449</v>
          </cell>
          <cell r="AJ175">
            <v>0.2</v>
          </cell>
          <cell r="AK175">
            <v>48.647819923666219</v>
          </cell>
        </row>
        <row r="176">
          <cell r="A176" t="str">
            <v>P055</v>
          </cell>
          <cell r="B176" t="str">
            <v>PREV</v>
          </cell>
          <cell r="C176" t="str">
            <v>WWOLEII09080401200</v>
          </cell>
          <cell r="D176" t="str">
            <v>VENTANILLA, SANTA ROSA Y MALACAS</v>
          </cell>
          <cell r="E176" t="str">
            <v>BATERÍAS ELEMENTOS DE GEL BANCO 125 VDC</v>
          </cell>
          <cell r="F176" t="str">
            <v>MANTENIMIENTO BATERÍAS - INTERVENCIÓNES EN ELEMENTOS DE GEL (VER ITEM 2 DEL ANEXO TECNICO DE MANTENIMIENTO ELECTRICO)</v>
          </cell>
          <cell r="G176" t="str">
            <v>LEII0908</v>
          </cell>
          <cell r="H176" t="str">
            <v>NUM</v>
          </cell>
          <cell r="I176">
            <v>1</v>
          </cell>
          <cell r="J176">
            <v>0.1</v>
          </cell>
          <cell r="K176">
            <v>2</v>
          </cell>
          <cell r="L176">
            <v>0.2</v>
          </cell>
          <cell r="M176" t="str">
            <v>NO</v>
          </cell>
          <cell r="N176">
            <v>600</v>
          </cell>
          <cell r="O176">
            <v>1840</v>
          </cell>
          <cell r="P176">
            <v>1100</v>
          </cell>
          <cell r="Q176">
            <v>1800</v>
          </cell>
          <cell r="R176">
            <v>5520</v>
          </cell>
          <cell r="S176">
            <v>3300</v>
          </cell>
          <cell r="T176">
            <v>9.8521656977454555</v>
          </cell>
          <cell r="U176">
            <v>9.8521656977454555</v>
          </cell>
          <cell r="V176">
            <v>9.8521656977454555</v>
          </cell>
          <cell r="W176">
            <v>17733.898255941818</v>
          </cell>
          <cell r="X176">
            <v>54383.954651554915</v>
          </cell>
          <cell r="Y176">
            <v>72117.852907496737</v>
          </cell>
          <cell r="Z176">
            <v>32512.146802560004</v>
          </cell>
          <cell r="AA176">
            <v>9.8521656977454555</v>
          </cell>
          <cell r="AB176">
            <v>23.057832511738383</v>
          </cell>
          <cell r="AC176">
            <v>0.2</v>
          </cell>
          <cell r="AD176">
            <v>1.4204547479352869</v>
          </cell>
          <cell r="AE176">
            <v>2.5739935101515701</v>
          </cell>
          <cell r="AF176">
            <v>0.51636088562607207</v>
          </cell>
          <cell r="AG176">
            <v>0.72979005168484867</v>
          </cell>
          <cell r="AH176" t="str">
            <v>Electricidad</v>
          </cell>
          <cell r="AI176">
            <v>9.8521656977454555</v>
          </cell>
          <cell r="AJ176">
            <v>0.2</v>
          </cell>
          <cell r="AK176">
            <v>49.260828488727277</v>
          </cell>
        </row>
        <row r="177">
          <cell r="A177" t="str">
            <v>C059</v>
          </cell>
          <cell r="B177" t="str">
            <v>COND</v>
          </cell>
          <cell r="C177" t="str">
            <v>WWOLEII09080401200</v>
          </cell>
          <cell r="D177" t="str">
            <v>VENTANILLA, SANTA ROSA Y MALACAS</v>
          </cell>
          <cell r="E177" t="str">
            <v>BATERÍAS ELEMENTOS DE GEL BANCO 125 VDC</v>
          </cell>
          <cell r="F177" t="str">
            <v>MANTENIMIENTO BATERÍAS - INTERVENCIÓNES EN ELEMENTOS DE GEL (VER ITEM 2 DEL ANEXO TECNICO DE MANTENIMIENTO ELECTRICO)</v>
          </cell>
          <cell r="G177" t="str">
            <v>LEII0900</v>
          </cell>
          <cell r="H177" t="str">
            <v>NUM</v>
          </cell>
          <cell r="I177">
            <v>1</v>
          </cell>
          <cell r="J177">
            <v>0.1</v>
          </cell>
          <cell r="K177">
            <v>2</v>
          </cell>
          <cell r="L177">
            <v>0.2</v>
          </cell>
          <cell r="M177" t="str">
            <v>NO</v>
          </cell>
          <cell r="N177">
            <v>60</v>
          </cell>
          <cell r="O177">
            <v>60</v>
          </cell>
          <cell r="P177">
            <v>60</v>
          </cell>
          <cell r="Q177">
            <v>180</v>
          </cell>
          <cell r="R177">
            <v>180</v>
          </cell>
          <cell r="S177">
            <v>180</v>
          </cell>
          <cell r="T177">
            <v>9.6224337159304731</v>
          </cell>
          <cell r="U177">
            <v>9.6224337159304731</v>
          </cell>
          <cell r="V177">
            <v>9.6224337159304731</v>
          </cell>
          <cell r="W177">
            <v>1732.0380688674852</v>
          </cell>
          <cell r="X177">
            <v>1732.0380688674852</v>
          </cell>
          <cell r="Y177">
            <v>3464.0761377349704</v>
          </cell>
          <cell r="Z177">
            <v>1732.0380688674852</v>
          </cell>
          <cell r="AA177">
            <v>9.6224337159304731</v>
          </cell>
          <cell r="AB177">
            <v>23.057832511738383</v>
          </cell>
          <cell r="AC177">
            <v>0.2</v>
          </cell>
          <cell r="AD177">
            <v>1.4541850475488782</v>
          </cell>
          <cell r="AE177">
            <v>2.3395888728239838</v>
          </cell>
          <cell r="AF177">
            <v>0.50432042536323229</v>
          </cell>
          <cell r="AG177">
            <v>0.71277286784670169</v>
          </cell>
          <cell r="AH177" t="str">
            <v>Electricidad</v>
          </cell>
          <cell r="AI177">
            <v>9.6224337159304731</v>
          </cell>
          <cell r="AJ177">
            <v>0.2</v>
          </cell>
          <cell r="AK177">
            <v>48.112168579652362</v>
          </cell>
        </row>
        <row r="178">
          <cell r="A178" t="str">
            <v>C060</v>
          </cell>
          <cell r="B178" t="str">
            <v>COND</v>
          </cell>
          <cell r="C178" t="str">
            <v>WWOLEII09080401000</v>
          </cell>
          <cell r="D178" t="str">
            <v>VENTANILLA, SANTA ROSA Y MALACAS</v>
          </cell>
          <cell r="E178" t="str">
            <v>BATERÍAS ELEMENTOS DE GEL BANCO 24 VDC</v>
          </cell>
          <cell r="F178" t="str">
            <v>MANTENIMIENTO BATERÍAS - INTERVENCIÓNES EN ELEMENTOS DE GEL (VER ITEM 2 DEL ANEXO TECNICO DE MANTENIMIENTO ELECTRICO)</v>
          </cell>
          <cell r="G178" t="str">
            <v>LEII0900</v>
          </cell>
          <cell r="H178" t="str">
            <v>NUM</v>
          </cell>
          <cell r="I178">
            <v>1</v>
          </cell>
          <cell r="J178">
            <v>0.1</v>
          </cell>
          <cell r="K178">
            <v>2</v>
          </cell>
          <cell r="L178">
            <v>0.2</v>
          </cell>
          <cell r="M178" t="str">
            <v>NO</v>
          </cell>
          <cell r="N178">
            <v>12</v>
          </cell>
          <cell r="O178">
            <v>12</v>
          </cell>
          <cell r="P178">
            <v>12</v>
          </cell>
          <cell r="Q178">
            <v>36</v>
          </cell>
          <cell r="R178">
            <v>36</v>
          </cell>
          <cell r="S178">
            <v>36</v>
          </cell>
          <cell r="T178">
            <v>9.6224337159304731</v>
          </cell>
          <cell r="U178">
            <v>9.6224337159304731</v>
          </cell>
          <cell r="V178">
            <v>9.6224337159304731</v>
          </cell>
          <cell r="W178">
            <v>346.40761377349702</v>
          </cell>
          <cell r="X178">
            <v>346.40761377349702</v>
          </cell>
          <cell r="Y178">
            <v>692.81522754699404</v>
          </cell>
          <cell r="Z178">
            <v>346.40761377349702</v>
          </cell>
          <cell r="AA178">
            <v>9.6224337159304731</v>
          </cell>
          <cell r="AB178">
            <v>23.057832511738383</v>
          </cell>
          <cell r="AC178">
            <v>0.2</v>
          </cell>
          <cell r="AD178">
            <v>1.4541850475488778</v>
          </cell>
          <cell r="AE178">
            <v>2.3395888728239829</v>
          </cell>
          <cell r="AF178">
            <v>0.50432042536323229</v>
          </cell>
          <cell r="AG178">
            <v>0.71277286784670169</v>
          </cell>
          <cell r="AH178" t="str">
            <v>Electricidad</v>
          </cell>
          <cell r="AI178">
            <v>9.6224337159304731</v>
          </cell>
          <cell r="AJ178">
            <v>0.2</v>
          </cell>
          <cell r="AK178">
            <v>48.112168579652362</v>
          </cell>
        </row>
        <row r="179">
          <cell r="A179" t="str">
            <v>C061</v>
          </cell>
          <cell r="B179" t="str">
            <v>COND</v>
          </cell>
          <cell r="C179" t="str">
            <v>WWOLEII09080401100</v>
          </cell>
          <cell r="D179" t="str">
            <v>VENTANILLA, SANTA ROSA Y MALACAS</v>
          </cell>
          <cell r="E179" t="str">
            <v>BATERÍAS ELEMENTOS DE GEL BANCO 48 VDC</v>
          </cell>
          <cell r="F179" t="str">
            <v>MANTENIMIENTO BATERÍAS - INTERVENCIÓNES EN ELEMENTOS DE GEL (VER ITEM 2 DEL ANEXO TECNICO DE MANTENIMIENTO ELECTRICO)</v>
          </cell>
          <cell r="G179" t="str">
            <v>LEII0900</v>
          </cell>
          <cell r="H179" t="str">
            <v>NUM</v>
          </cell>
          <cell r="I179">
            <v>1</v>
          </cell>
          <cell r="J179">
            <v>0.1</v>
          </cell>
          <cell r="K179">
            <v>2</v>
          </cell>
          <cell r="L179">
            <v>0.2</v>
          </cell>
          <cell r="M179" t="str">
            <v>NO</v>
          </cell>
          <cell r="N179">
            <v>24</v>
          </cell>
          <cell r="O179">
            <v>24</v>
          </cell>
          <cell r="P179">
            <v>24</v>
          </cell>
          <cell r="Q179">
            <v>72</v>
          </cell>
          <cell r="R179">
            <v>72</v>
          </cell>
          <cell r="S179">
            <v>72</v>
          </cell>
          <cell r="T179">
            <v>9.6224337159304785</v>
          </cell>
          <cell r="U179">
            <v>9.6224337159304785</v>
          </cell>
          <cell r="V179">
            <v>9.6224337159304785</v>
          </cell>
          <cell r="W179">
            <v>692.81522754699449</v>
          </cell>
          <cell r="X179">
            <v>692.81522754699449</v>
          </cell>
          <cell r="Y179">
            <v>1385.630455093989</v>
          </cell>
          <cell r="Z179">
            <v>692.81522754699449</v>
          </cell>
          <cell r="AA179">
            <v>9.6224337159304785</v>
          </cell>
          <cell r="AB179">
            <v>23.057832511738383</v>
          </cell>
          <cell r="AC179">
            <v>0.2</v>
          </cell>
          <cell r="AD179">
            <v>1.45418504754888</v>
          </cell>
          <cell r="AE179">
            <v>2.3395888728239864</v>
          </cell>
          <cell r="AF179">
            <v>0.50432042536323263</v>
          </cell>
          <cell r="AG179">
            <v>0.71277286784670213</v>
          </cell>
          <cell r="AH179" t="str">
            <v>Electricidad</v>
          </cell>
          <cell r="AI179">
            <v>9.6224337159304785</v>
          </cell>
          <cell r="AJ179">
            <v>0.2</v>
          </cell>
          <cell r="AK179">
            <v>48.112168579652391</v>
          </cell>
        </row>
        <row r="180">
          <cell r="A180" t="str">
            <v>P077</v>
          </cell>
          <cell r="B180" t="str">
            <v>PREV</v>
          </cell>
          <cell r="C180" t="str">
            <v>WWOMMIM01060100100</v>
          </cell>
          <cell r="D180" t="str">
            <v>SANTA ROSA Y MALACAS</v>
          </cell>
          <cell r="E180" t="str">
            <v>LUBRICACIÓN VASTAGO DE VÁLVULA</v>
          </cell>
          <cell r="F180" t="str">
            <v>LUBRICACIÓN CON GRASA DEL VASTAGO DE LA VÁLVULA</v>
          </cell>
          <cell r="G180" t="str">
            <v>MMIM0106</v>
          </cell>
          <cell r="H180" t="str">
            <v>NUM</v>
          </cell>
          <cell r="I180">
            <v>1</v>
          </cell>
          <cell r="J180">
            <v>1</v>
          </cell>
          <cell r="K180">
            <v>2</v>
          </cell>
          <cell r="L180">
            <v>2</v>
          </cell>
          <cell r="M180" t="str">
            <v>NO</v>
          </cell>
          <cell r="N180">
            <v>0</v>
          </cell>
          <cell r="O180">
            <v>100</v>
          </cell>
          <cell r="P180">
            <v>20</v>
          </cell>
          <cell r="Q180">
            <v>0</v>
          </cell>
          <cell r="R180">
            <v>300</v>
          </cell>
          <cell r="S180">
            <v>60</v>
          </cell>
          <cell r="T180"/>
          <cell r="U180">
            <v>87.932478648814623</v>
          </cell>
          <cell r="V180">
            <v>87.932478648814623</v>
          </cell>
          <cell r="W180">
            <v>0</v>
          </cell>
          <cell r="X180">
            <v>26379.743594644387</v>
          </cell>
          <cell r="Y180">
            <v>26379.743594644387</v>
          </cell>
          <cell r="Z180">
            <v>5275.9487189288775</v>
          </cell>
          <cell r="AA180">
            <v>87.932478648814623</v>
          </cell>
          <cell r="AB180">
            <v>19.171538486527368</v>
          </cell>
          <cell r="AC180">
            <v>2</v>
          </cell>
          <cell r="AD180">
            <v>13.679237940820807</v>
          </cell>
          <cell r="AE180">
            <v>24.788026323733323</v>
          </cell>
          <cell r="AF180">
            <v>4.608620474256532</v>
          </cell>
          <cell r="AG180">
            <v>6.5135169369492312</v>
          </cell>
          <cell r="AH180" t="str">
            <v>Mecánica</v>
          </cell>
          <cell r="AI180">
            <v>87.932478648814623</v>
          </cell>
          <cell r="AJ180">
            <v>2</v>
          </cell>
          <cell r="AK180">
            <v>43.966239324407312</v>
          </cell>
        </row>
        <row r="181">
          <cell r="A181" t="str">
            <v>C169</v>
          </cell>
          <cell r="B181" t="str">
            <v>COND</v>
          </cell>
          <cell r="C181" t="str">
            <v>WWOMMIM01060100100</v>
          </cell>
          <cell r="D181" t="str">
            <v>VENTANILLA, SANTA ROSA Y MALACAS</v>
          </cell>
          <cell r="E181" t="str">
            <v>LUBRICACIÓN VASTAGO DE VÁLVULA</v>
          </cell>
          <cell r="F181" t="str">
            <v>LUBRICACIÓN CON GRASA DEL VASTAGO DE LA VÁLVULA</v>
          </cell>
          <cell r="G181" t="str">
            <v>MMIM0100</v>
          </cell>
          <cell r="H181" t="str">
            <v>NUM</v>
          </cell>
          <cell r="I181">
            <v>1</v>
          </cell>
          <cell r="J181">
            <v>1</v>
          </cell>
          <cell r="K181">
            <v>2</v>
          </cell>
          <cell r="L181">
            <v>2</v>
          </cell>
          <cell r="M181" t="str">
            <v>NO</v>
          </cell>
          <cell r="N181">
            <v>1</v>
          </cell>
          <cell r="O181">
            <v>1</v>
          </cell>
          <cell r="P181">
            <v>1</v>
          </cell>
          <cell r="Q181">
            <v>3</v>
          </cell>
          <cell r="R181">
            <v>3</v>
          </cell>
          <cell r="S181">
            <v>3</v>
          </cell>
          <cell r="T181">
            <v>85.635158830664992</v>
          </cell>
          <cell r="U181">
            <v>85.635158830664992</v>
          </cell>
          <cell r="V181">
            <v>85.635158830664992</v>
          </cell>
          <cell r="W181">
            <v>256.90547649199499</v>
          </cell>
          <cell r="X181">
            <v>256.90547649199499</v>
          </cell>
          <cell r="Y181">
            <v>513.81095298398998</v>
          </cell>
          <cell r="Z181">
            <v>256.90547649199499</v>
          </cell>
          <cell r="AA181">
            <v>85.635158830664992</v>
          </cell>
          <cell r="AB181">
            <v>19.171538486527368</v>
          </cell>
          <cell r="AC181">
            <v>2</v>
          </cell>
          <cell r="AD181">
            <v>13.975620427880031</v>
          </cell>
          <cell r="AE181">
            <v>22.484900459534298</v>
          </cell>
          <cell r="AF181">
            <v>4.4882158716281442</v>
          </cell>
          <cell r="AG181">
            <v>6.3433450985677773</v>
          </cell>
          <cell r="AH181" t="str">
            <v>Mecánica</v>
          </cell>
          <cell r="AI181">
            <v>85.635158830664992</v>
          </cell>
          <cell r="AJ181">
            <v>2</v>
          </cell>
          <cell r="AK181">
            <v>42.817579415332496</v>
          </cell>
        </row>
        <row r="182">
          <cell r="A182" t="str">
            <v>C209</v>
          </cell>
          <cell r="B182" t="str">
            <v>COND</v>
          </cell>
          <cell r="C182" t="str">
            <v>WWOMMIM01060204000</v>
          </cell>
          <cell r="D182" t="str">
            <v>VENTANILLA, SANTA ROSA Y MALACAS</v>
          </cell>
          <cell r="E182" t="str">
            <v>CAMBIO / MODIFICACIÓN PRENSAESTOPAS</v>
          </cell>
          <cell r="F182" t="str">
            <v>LOS TRABAJOS, PARA CADA EMPAQUETADURA, CONSISTEN EN: EXTRACCIÓN PRENSAESTOPAS, EXTRACCIÓN EMPAQUETADURA, PERFECTA LIMPIEZA DE LA CÁMARA Y FUNDA DE PROTECCIÓN DEL EJE, CONTROL DEL ESTADO DE LA FUNDA, SI HAY. REMPAQUETADURA CON MATERIALES NUEVOS, SUMISTRO A CARGO ENEL, REGULACIÓN DEL AJUSTE DEL PRENSAESTOPAS Y DEL AGUA DE SELLO CON LA BOMBA EN SERVICIO. NOTA: EN EL CASO DE QUE SE NECESITE SUSTITUIR LA FUNDA DE PROTECCIÓN DEL EJE, SE COMPUTARÁ APARTE SEGUN LA LINEA DE PRECIO CORRESPONDIENTE</v>
          </cell>
          <cell r="G182" t="str">
            <v>MMIM0100</v>
          </cell>
          <cell r="H182" t="str">
            <v>NUM</v>
          </cell>
          <cell r="I182">
            <v>1</v>
          </cell>
          <cell r="J182">
            <v>9.5</v>
          </cell>
          <cell r="K182">
            <v>2</v>
          </cell>
          <cell r="L182">
            <v>19</v>
          </cell>
          <cell r="M182" t="str">
            <v>NO</v>
          </cell>
          <cell r="N182">
            <v>4</v>
          </cell>
          <cell r="O182">
            <v>3</v>
          </cell>
          <cell r="P182">
            <v>3</v>
          </cell>
          <cell r="Q182">
            <v>12</v>
          </cell>
          <cell r="R182">
            <v>9</v>
          </cell>
          <cell r="S182">
            <v>9</v>
          </cell>
          <cell r="T182">
            <v>875.35566616543633</v>
          </cell>
          <cell r="U182">
            <v>875.35566616543633</v>
          </cell>
          <cell r="V182">
            <v>875.35566616543633</v>
          </cell>
          <cell r="W182">
            <v>10504.267993985235</v>
          </cell>
          <cell r="X182">
            <v>7878.2009954889272</v>
          </cell>
          <cell r="Y182">
            <v>18382.46898947416</v>
          </cell>
          <cell r="Z182">
            <v>7878.2009954889272</v>
          </cell>
          <cell r="AA182">
            <v>875.35566616543633</v>
          </cell>
          <cell r="AB182">
            <v>20.776439546856693</v>
          </cell>
          <cell r="AC182">
            <v>19</v>
          </cell>
          <cell r="AD182">
            <v>131.53342193259849</v>
          </cell>
          <cell r="AE182">
            <v>238.35055281744255</v>
          </cell>
          <cell r="AF182">
            <v>45.878179568419093</v>
          </cell>
          <cell r="AG182">
            <v>64.841160456698987</v>
          </cell>
          <cell r="AH182" t="str">
            <v>Mecánica</v>
          </cell>
          <cell r="AI182">
            <v>875.35566616543633</v>
          </cell>
          <cell r="AJ182">
            <v>19</v>
          </cell>
          <cell r="AK182">
            <v>46.071350850812436</v>
          </cell>
        </row>
        <row r="183">
          <cell r="A183" t="str">
            <v>C177</v>
          </cell>
          <cell r="B183" t="str">
            <v>COND</v>
          </cell>
          <cell r="C183" t="str">
            <v>WWOMMIM01060200200</v>
          </cell>
          <cell r="D183" t="str">
            <v>VENTANILLA, SANTA ROSA Y MALACAS</v>
          </cell>
          <cell r="E183" t="str">
            <v>BBA CENTR. VERT &lt;10KW: DESMNT Y MONTAJE</v>
          </cell>
          <cell r="F183" t="str">
            <v>LOS TRABAJOS SON ANALOGOS A LOS DESCRITOS PARA LAS BOMBAS HORIZONTALES, Y TAMBIEN INCLUYEN EL DESMONTAJE DEL MOTOR Y SU REMONTAJE TRAS EJECUTADOS LOS TRABAJOS. SE CONSIDERA: DESMONTAJE 40% REMONTAJE 60%</v>
          </cell>
          <cell r="G183" t="str">
            <v>MMIM0100</v>
          </cell>
          <cell r="H183" t="str">
            <v>NUM</v>
          </cell>
          <cell r="I183">
            <v>1</v>
          </cell>
          <cell r="J183">
            <v>12</v>
          </cell>
          <cell r="K183">
            <v>2</v>
          </cell>
          <cell r="L183">
            <v>24</v>
          </cell>
          <cell r="M183" t="str">
            <v>SI</v>
          </cell>
          <cell r="N183">
            <v>4</v>
          </cell>
          <cell r="O183">
            <v>3</v>
          </cell>
          <cell r="P183">
            <v>3</v>
          </cell>
          <cell r="Q183">
            <v>12</v>
          </cell>
          <cell r="R183">
            <v>9</v>
          </cell>
          <cell r="S183">
            <v>9</v>
          </cell>
          <cell r="T183">
            <v>1027.621905967979</v>
          </cell>
          <cell r="U183">
            <v>1027.621905967979</v>
          </cell>
          <cell r="V183">
            <v>1027.621905967979</v>
          </cell>
          <cell r="W183">
            <v>12331.462871615749</v>
          </cell>
          <cell r="X183">
            <v>9248.5971537118112</v>
          </cell>
          <cell r="Y183">
            <v>21580.060025327562</v>
          </cell>
          <cell r="Z183">
            <v>9248.5971537118112</v>
          </cell>
          <cell r="AA183">
            <v>1027.621905967979</v>
          </cell>
          <cell r="AB183">
            <v>19.171538486527368</v>
          </cell>
          <cell r="AC183">
            <v>24</v>
          </cell>
          <cell r="AD183">
            <v>167.70744513456012</v>
          </cell>
          <cell r="AE183">
            <v>269.81880551441122</v>
          </cell>
          <cell r="AF183">
            <v>53.858590459537687</v>
          </cell>
          <cell r="AG183">
            <v>76.120141182813271</v>
          </cell>
          <cell r="AH183" t="str">
            <v>Mecánica</v>
          </cell>
          <cell r="AI183">
            <v>1027.621905967979</v>
          </cell>
          <cell r="AJ183">
            <v>24</v>
          </cell>
          <cell r="AK183">
            <v>42.81757941533246</v>
          </cell>
        </row>
        <row r="184">
          <cell r="A184" t="str">
            <v>C178</v>
          </cell>
          <cell r="B184" t="str">
            <v>COND</v>
          </cell>
          <cell r="C184" t="str">
            <v>WWOMMIM01060200800</v>
          </cell>
          <cell r="D184" t="str">
            <v>VENTANILLA, SANTA ROSA Y MALACAS</v>
          </cell>
          <cell r="E184" t="str">
            <v>BBA CENTR. VERT&gt;10&lt;50KW:DESMNT Y MONTAJE</v>
          </cell>
          <cell r="F184" t="str">
            <v>LOS TRABAJOS SON ANALOGOS A LOS DESCRITOS PARA LAS BOMBAS HORIZONTALES, Y TAMBIEN INCLUYEN EL DESMONTAJE DEL MOTOR Y SU REMONTAJE TRAS EJECUTADOS LOS TRABAJOS. SE CONSIDERA: DESMONTAJE 40% REMONTAJE 60%</v>
          </cell>
          <cell r="G184" t="str">
            <v>MMIM0100</v>
          </cell>
          <cell r="H184" t="str">
            <v>NUM</v>
          </cell>
          <cell r="I184">
            <v>1</v>
          </cell>
          <cell r="J184">
            <v>16</v>
          </cell>
          <cell r="K184">
            <v>2</v>
          </cell>
          <cell r="L184">
            <v>32</v>
          </cell>
          <cell r="M184" t="str">
            <v>SI</v>
          </cell>
          <cell r="N184">
            <v>4</v>
          </cell>
          <cell r="O184">
            <v>3</v>
          </cell>
          <cell r="P184">
            <v>3</v>
          </cell>
          <cell r="Q184">
            <v>12</v>
          </cell>
          <cell r="R184">
            <v>9</v>
          </cell>
          <cell r="S184">
            <v>9</v>
          </cell>
          <cell r="T184">
            <v>1654.9413436649986</v>
          </cell>
          <cell r="U184">
            <v>1654.9413436649986</v>
          </cell>
          <cell r="V184">
            <v>1654.9413436649986</v>
          </cell>
          <cell r="W184">
            <v>19859.296123979984</v>
          </cell>
          <cell r="X184">
            <v>14894.472092984988</v>
          </cell>
          <cell r="Y184">
            <v>34753.768216964971</v>
          </cell>
          <cell r="Z184">
            <v>14894.472092984988</v>
          </cell>
          <cell r="AA184">
            <v>1654.9413436649986</v>
          </cell>
          <cell r="AB184">
            <v>20.776439546856693</v>
          </cell>
          <cell r="AC184">
            <v>32</v>
          </cell>
          <cell r="AD184">
            <v>299.2756486581863</v>
          </cell>
          <cell r="AE184">
            <v>481.49441413118228</v>
          </cell>
          <cell r="AF184">
            <v>86.736967697326975</v>
          </cell>
          <cell r="AG184">
            <v>122.58824767888879</v>
          </cell>
          <cell r="AH184" t="str">
            <v>Mecánica</v>
          </cell>
          <cell r="AI184">
            <v>1654.9413436649986</v>
          </cell>
          <cell r="AJ184">
            <v>32</v>
          </cell>
          <cell r="AK184">
            <v>51.716916989531207</v>
          </cell>
        </row>
        <row r="185">
          <cell r="A185" t="str">
            <v>C183</v>
          </cell>
          <cell r="B185" t="str">
            <v>COND</v>
          </cell>
          <cell r="C185" t="str">
            <v>WWOMMIM01060202000</v>
          </cell>
          <cell r="D185" t="str">
            <v>VENTANILLA, SANTA ROSA Y MALACAS</v>
          </cell>
          <cell r="E185" t="str">
            <v>BBA CENTR.VERT&gt;130&lt;250KW:DESMNT Y MNTJE</v>
          </cell>
          <cell r="F185" t="str">
            <v>LOS TRABAJOS SON ANALOGOS A LOS DESCRITOS PARA LAS BOMBAS HORIZONTALES, Y TAMBIEN INCLUYEN EL DESMONTAJE DEL MOTOR Y SU REMONTAJE TRAS EJECUTADOS LOS TRABAJOS. SE CONSIDERA: DESMONTAJE 40% REMONTAJE 60%</v>
          </cell>
          <cell r="G185" t="str">
            <v>MMIM0100</v>
          </cell>
          <cell r="H185" t="str">
            <v>NUM</v>
          </cell>
          <cell r="I185">
            <v>1</v>
          </cell>
          <cell r="J185">
            <v>8</v>
          </cell>
          <cell r="K185">
            <v>5</v>
          </cell>
          <cell r="L185">
            <v>40</v>
          </cell>
          <cell r="M185" t="str">
            <v>SI</v>
          </cell>
          <cell r="N185">
            <v>4</v>
          </cell>
          <cell r="O185">
            <v>3</v>
          </cell>
          <cell r="P185">
            <v>3</v>
          </cell>
          <cell r="Q185">
            <v>12</v>
          </cell>
          <cell r="R185">
            <v>9</v>
          </cell>
          <cell r="S185">
            <v>9</v>
          </cell>
          <cell r="T185">
            <v>1635.9545274674879</v>
          </cell>
          <cell r="U185">
            <v>1635.9545274674879</v>
          </cell>
          <cell r="V185">
            <v>1635.9545274674879</v>
          </cell>
          <cell r="W185">
            <v>19631.454329609856</v>
          </cell>
          <cell r="X185">
            <v>14723.59074720739</v>
          </cell>
          <cell r="Y185">
            <v>34355.045076817245</v>
          </cell>
          <cell r="Z185">
            <v>14723.59074720739</v>
          </cell>
          <cell r="AA185">
            <v>1635.9545274674879</v>
          </cell>
          <cell r="AB185">
            <v>17.488519612460681</v>
          </cell>
          <cell r="AC185">
            <v>40</v>
          </cell>
          <cell r="AD185">
            <v>279.61960334165406</v>
          </cell>
          <cell r="AE185">
            <v>449.87047123354557</v>
          </cell>
          <cell r="AF185">
            <v>85.741851544417599</v>
          </cell>
          <cell r="AG185">
            <v>121.18181684944355</v>
          </cell>
          <cell r="AH185" t="str">
            <v>Mecánica</v>
          </cell>
          <cell r="AI185">
            <v>1635.9545274674879</v>
          </cell>
          <cell r="AJ185">
            <v>40</v>
          </cell>
          <cell r="AK185">
            <v>40.898863186687194</v>
          </cell>
        </row>
        <row r="186">
          <cell r="A186" t="str">
            <v>C184</v>
          </cell>
          <cell r="B186" t="str">
            <v>COND</v>
          </cell>
          <cell r="C186" t="str">
            <v>WWOMMIM01060202600</v>
          </cell>
          <cell r="D186" t="str">
            <v>VENTANILLA, SANTA ROSA Y MALACAS</v>
          </cell>
          <cell r="E186" t="str">
            <v>BBA CENTR.VERT&gt;250KW:DESMNT Y MNTJE</v>
          </cell>
          <cell r="F186" t="str">
            <v>LOS TRABAJOS SON ANALOGOS A LOS DESCRITOS PARA LAS BOMBAS HORIZONTALES, Y TAMBIEN INCLUYEN EL DESMONTAJE DEL MOTOR Y SU REMONTAJE TRAS EJECUTADOS LOS TRABAJOS. SE CONSIDERA: DESMONTAJE 40% REMONTAJE 60%</v>
          </cell>
          <cell r="G186" t="str">
            <v>MMIM0100</v>
          </cell>
          <cell r="H186" t="str">
            <v>NUM</v>
          </cell>
          <cell r="I186">
            <v>1</v>
          </cell>
          <cell r="J186">
            <v>10</v>
          </cell>
          <cell r="K186">
            <v>6</v>
          </cell>
          <cell r="L186">
            <v>60</v>
          </cell>
          <cell r="M186" t="str">
            <v>SI</v>
          </cell>
          <cell r="N186">
            <v>4</v>
          </cell>
          <cell r="O186">
            <v>3</v>
          </cell>
          <cell r="P186">
            <v>3</v>
          </cell>
          <cell r="Q186">
            <v>12</v>
          </cell>
          <cell r="R186">
            <v>9</v>
          </cell>
          <cell r="S186">
            <v>9</v>
          </cell>
          <cell r="T186">
            <v>2519.1316341411402</v>
          </cell>
          <cell r="U186">
            <v>2519.1316341411402</v>
          </cell>
          <cell r="V186">
            <v>2519.1316341411402</v>
          </cell>
          <cell r="W186">
            <v>30229.579609693683</v>
          </cell>
          <cell r="X186">
            <v>22672.184707270262</v>
          </cell>
          <cell r="Y186">
            <v>52901.764316963949</v>
          </cell>
          <cell r="Z186">
            <v>22672.184707270262</v>
          </cell>
          <cell r="AA186">
            <v>2519.1316341411402</v>
          </cell>
          <cell r="AB186">
            <v>18.414850340971352</v>
          </cell>
          <cell r="AC186">
            <v>60</v>
          </cell>
          <cell r="AD186">
            <v>419.95576347341887</v>
          </cell>
          <cell r="AE186">
            <v>675.65254707907911</v>
          </cell>
          <cell r="AF186">
            <v>132.02995986064676</v>
          </cell>
          <cell r="AG186">
            <v>186.60234326971408</v>
          </cell>
          <cell r="AH186" t="str">
            <v>Mecánica</v>
          </cell>
          <cell r="AI186">
            <v>2519.1316341411402</v>
          </cell>
          <cell r="AJ186">
            <v>60</v>
          </cell>
          <cell r="AK186">
            <v>41.985527235685673</v>
          </cell>
        </row>
        <row r="187">
          <cell r="A187" t="str">
            <v>C185</v>
          </cell>
          <cell r="B187" t="str">
            <v>COND</v>
          </cell>
          <cell r="C187" t="str">
            <v>WWOMMIM01060201400</v>
          </cell>
          <cell r="D187" t="str">
            <v>VENTANILLA, SANTA ROSA Y MALACAS</v>
          </cell>
          <cell r="E187" t="str">
            <v>BBA CENTR.VERT&gt;50&lt;130KW:DESMNT Y MNTAJE</v>
          </cell>
          <cell r="F187" t="str">
            <v>LOS TRABAJOS SON ANALOGOS A LOS DESCRITOS PARA LAS BOMBAS HORIZONTALES, Y TAMBIEN INCLUYEN EL DESMONTAJE DEL MOTOR Y SU REMONTAJE TRAS EJECUTADOS LOS TRABAJOS. SE CONSIDERA: DESMONTAJE 40% REMONTAJE 60%</v>
          </cell>
          <cell r="G187" t="str">
            <v>MMIM0100</v>
          </cell>
          <cell r="H187" t="str">
            <v>NUM</v>
          </cell>
          <cell r="I187">
            <v>1</v>
          </cell>
          <cell r="J187">
            <v>18</v>
          </cell>
          <cell r="K187">
            <v>2</v>
          </cell>
          <cell r="L187">
            <v>36</v>
          </cell>
          <cell r="M187" t="str">
            <v>SI</v>
          </cell>
          <cell r="N187">
            <v>4</v>
          </cell>
          <cell r="O187">
            <v>3</v>
          </cell>
          <cell r="P187">
            <v>3</v>
          </cell>
          <cell r="Q187">
            <v>12</v>
          </cell>
          <cell r="R187">
            <v>9</v>
          </cell>
          <cell r="S187">
            <v>9</v>
          </cell>
          <cell r="T187">
            <v>1756.0647721754569</v>
          </cell>
          <cell r="U187">
            <v>1756.0647721754569</v>
          </cell>
          <cell r="V187">
            <v>1756.0647721754569</v>
          </cell>
          <cell r="W187">
            <v>21072.777266105484</v>
          </cell>
          <cell r="X187">
            <v>15804.582949579113</v>
          </cell>
          <cell r="Y187">
            <v>36877.360215684595</v>
          </cell>
          <cell r="Z187">
            <v>15804.582949579113</v>
          </cell>
          <cell r="AA187">
            <v>1756.0647721754569</v>
          </cell>
          <cell r="AB187">
            <v>20.776439546856693</v>
          </cell>
          <cell r="AC187">
            <v>36</v>
          </cell>
          <cell r="AD187">
            <v>301.27923027260067</v>
          </cell>
          <cell r="AE187">
            <v>484.71790845797364</v>
          </cell>
          <cell r="AF187">
            <v>92.036937745044909</v>
          </cell>
          <cell r="AG187">
            <v>130.07887201299681</v>
          </cell>
          <cell r="AH187" t="str">
            <v>Mecánica</v>
          </cell>
          <cell r="AI187">
            <v>1756.0647721754569</v>
          </cell>
          <cell r="AJ187">
            <v>36</v>
          </cell>
          <cell r="AK187">
            <v>48.779577004873801</v>
          </cell>
        </row>
        <row r="188">
          <cell r="A188" t="str">
            <v>C265</v>
          </cell>
          <cell r="B188" t="str">
            <v>COND</v>
          </cell>
          <cell r="C188" t="str">
            <v>WWOMMIM01060603400</v>
          </cell>
          <cell r="D188" t="str">
            <v>VENTANILLA, SANTA ROSA Y MALACAS</v>
          </cell>
          <cell r="E188" t="str">
            <v>MANTENIMIENTO SOPORTE LINEA VAP/AA</v>
          </cell>
          <cell r="F188" t="str">
            <v xml:space="preserve">LOS TRABAJOS SE DEBEN LLEVAR A CABO EN PRESENCIA DE UNA UNIDAD ESPECIALIZADA DEL CLIENTE. INLUYEN: INSPECCIÓN VISUAL SUSPENSIÓN DE CARGA CONSTANTE O VARIABLE DE LAS LÍNEAS VAPOR O AGUA ALIMENTACIÓN. LIMPIEZA CON CEPILLO Y AIRE COMPRIMIDO. LUBRICACIÓN DE LAS PALANCAS Y RESORTES. CONTROL DE FIJACIÓN Y ANCLAJE DE TODOS LOS PUNTOS DE APOYO. AJUSTE DEL RANGO DE TRABAJO DEL SOPORTE, EN CASO DE PEQUEÑAS DESVIACIÓNES DE LOS VALORES NOMINALES, UTILIZANDO LOS TORNILLOS DE AJUSTE O LOS PUNTOS DE APOYO.
</v>
          </cell>
          <cell r="G188" t="str">
            <v>MMIM0100</v>
          </cell>
          <cell r="H188" t="str">
            <v>NUM</v>
          </cell>
          <cell r="I188">
            <v>1</v>
          </cell>
          <cell r="J188">
            <v>3</v>
          </cell>
          <cell r="K188">
            <v>3</v>
          </cell>
          <cell r="L188">
            <v>9</v>
          </cell>
          <cell r="M188" t="str">
            <v>SI</v>
          </cell>
          <cell r="N188">
            <v>4</v>
          </cell>
          <cell r="O188">
            <v>3</v>
          </cell>
          <cell r="P188">
            <v>3</v>
          </cell>
          <cell r="Q188">
            <v>12</v>
          </cell>
          <cell r="R188">
            <v>9</v>
          </cell>
          <cell r="S188">
            <v>9</v>
          </cell>
          <cell r="T188">
            <v>411.79268809245906</v>
          </cell>
          <cell r="U188">
            <v>411.79268809245906</v>
          </cell>
          <cell r="V188">
            <v>411.79268809245906</v>
          </cell>
          <cell r="W188">
            <v>4941.5122571095089</v>
          </cell>
          <cell r="X188">
            <v>3706.1341928321317</v>
          </cell>
          <cell r="Y188">
            <v>8647.6464499416397</v>
          </cell>
          <cell r="Z188">
            <v>3706.1341928321317</v>
          </cell>
          <cell r="AA188">
            <v>411.79268809245906</v>
          </cell>
          <cell r="AB188">
            <v>21.533127692412709</v>
          </cell>
          <cell r="AC188">
            <v>9</v>
          </cell>
          <cell r="AD188">
            <v>63.594278557821433</v>
          </cell>
          <cell r="AE188">
            <v>102.31467222134734</v>
          </cell>
          <cell r="AF188">
            <v>21.582426000652987</v>
          </cell>
          <cell r="AG188">
            <v>30.503162080922895</v>
          </cell>
          <cell r="AH188" t="str">
            <v>Mecánica</v>
          </cell>
          <cell r="AI188">
            <v>411.79268809245906</v>
          </cell>
          <cell r="AJ188">
            <v>9</v>
          </cell>
          <cell r="AK188">
            <v>45.754743121384337</v>
          </cell>
        </row>
        <row r="189">
          <cell r="A189" t="str">
            <v>P091</v>
          </cell>
          <cell r="B189" t="str">
            <v>PREV</v>
          </cell>
          <cell r="C189" t="str">
            <v>WWOMMIM01061105400</v>
          </cell>
          <cell r="D189" t="str">
            <v>VENTANILLA Y MALACAS</v>
          </cell>
          <cell r="E189" t="str">
            <v>REVISIÓN HIDRANTE ANTINCENDIOS</v>
          </cell>
          <cell r="F189" t="str">
            <v>LOS TRABAJOS CONSISTEN EN:
-DESMONTAJE DE LA COLUMNA DEL COLECTOR;
-DESMONTAJE DE LA COLUMNA EN SUS PIEZAS ELEMENTALES, INCLUIDA LA APERTURA DE VÁLVULAS INTERNAS;
- LIMPIEZA Y SUSTITUCIÓN DE PIEZAS Y JUNTAS DAÑADAS;
-CONTROL, REVISIÓN DE ASIENTOS DE LOS SELLOS CON MÁQUINAS HERRAMIENTAS, CONTROL VARILLA
DE MANIOBRA, SUSTITUCIÓN COMPONENTES DESGASTADOS.
-CIERRE Y PRUEBA DE FUNCIÓNAMIENTO.</v>
          </cell>
          <cell r="G189" t="str">
            <v>MMIM0106</v>
          </cell>
          <cell r="H189" t="str">
            <v>NUM</v>
          </cell>
          <cell r="I189">
            <v>1</v>
          </cell>
          <cell r="J189">
            <v>5</v>
          </cell>
          <cell r="K189">
            <v>2</v>
          </cell>
          <cell r="L189">
            <v>10</v>
          </cell>
          <cell r="M189" t="str">
            <v>SI</v>
          </cell>
          <cell r="N189">
            <v>1</v>
          </cell>
          <cell r="O189">
            <v>0</v>
          </cell>
          <cell r="P189">
            <v>2</v>
          </cell>
          <cell r="Q189">
            <v>3</v>
          </cell>
          <cell r="R189">
            <v>0</v>
          </cell>
          <cell r="S189">
            <v>6</v>
          </cell>
          <cell r="T189">
            <v>449.22690941737579</v>
          </cell>
          <cell r="U189"/>
          <cell r="V189">
            <v>449.22690941737579</v>
          </cell>
          <cell r="W189">
            <v>1347.6807282521274</v>
          </cell>
          <cell r="X189">
            <v>0</v>
          </cell>
          <cell r="Y189">
            <v>1347.6807282521274</v>
          </cell>
          <cell r="Z189">
            <v>2695.3614565042549</v>
          </cell>
          <cell r="AA189">
            <v>449.22690941737579</v>
          </cell>
          <cell r="AB189">
            <v>20.776439546856693</v>
          </cell>
          <cell r="AC189">
            <v>10</v>
          </cell>
          <cell r="AD189">
            <v>70.774834614860353</v>
          </cell>
          <cell r="AE189">
            <v>113.86722468367242</v>
          </cell>
          <cell r="AF189">
            <v>23.544387286025984</v>
          </cell>
          <cell r="AG189">
            <v>33.276067364250061</v>
          </cell>
          <cell r="AH189" t="str">
            <v>Mecánica</v>
          </cell>
          <cell r="AI189">
            <v>449.22690941737579</v>
          </cell>
          <cell r="AJ189">
            <v>10</v>
          </cell>
          <cell r="AK189">
            <v>44.922690941737578</v>
          </cell>
        </row>
        <row r="190">
          <cell r="A190" t="str">
            <v>C294</v>
          </cell>
          <cell r="B190" t="str">
            <v>COND</v>
          </cell>
          <cell r="C190" t="str">
            <v>WWOMMIM01061105400</v>
          </cell>
          <cell r="D190" t="str">
            <v>VENTANILLA, SANTA ROSA Y MALACAS</v>
          </cell>
          <cell r="E190" t="str">
            <v>REVISIÓN HIDRANTE ANTINCENDIOS</v>
          </cell>
          <cell r="F190" t="str">
            <v>LOS TRABAJOS CONSISTEN EN:
-DESMONTAJE DE LA COLUMNA DEL COLECTOR;
-DESMONTAJE DE LA COLUMNA EN SUS PIEZAS ELEMENTALES, INCLUIDA LA APERTURA DE VÁLVULAS INTERNAS;
- LIMPIEZA Y SUSTITUCIÓN DE PIEZAS Y JUNTAS DAÑADAS;
-CONTROL, REVISIÓN DE ASIENTOS DE LOS SELLOS CON MÁQUINAS HERRAMIENTAS, CONTROL VARILLA
DE MANIOBRA, SUSTITUCIÓN COMPONENTES DESGASTADOS.
-CIERRE Y PRUEBA DE FUNCIÓNAMIENTO.</v>
          </cell>
          <cell r="G190" t="str">
            <v>MMIM0100</v>
          </cell>
          <cell r="H190" t="str">
            <v>NUM</v>
          </cell>
          <cell r="I190">
            <v>1</v>
          </cell>
          <cell r="J190">
            <v>5</v>
          </cell>
          <cell r="K190">
            <v>2</v>
          </cell>
          <cell r="L190">
            <v>10</v>
          </cell>
          <cell r="M190" t="str">
            <v>SI</v>
          </cell>
          <cell r="N190">
            <v>1</v>
          </cell>
          <cell r="O190">
            <v>1</v>
          </cell>
          <cell r="P190">
            <v>1</v>
          </cell>
          <cell r="Q190">
            <v>3</v>
          </cell>
          <cell r="R190">
            <v>3</v>
          </cell>
          <cell r="S190">
            <v>3</v>
          </cell>
          <cell r="T190">
            <v>449.22690941737528</v>
          </cell>
          <cell r="U190">
            <v>449.22690941737528</v>
          </cell>
          <cell r="V190">
            <v>449.22690941737528</v>
          </cell>
          <cell r="W190">
            <v>1347.6807282521258</v>
          </cell>
          <cell r="X190">
            <v>1347.6807282521258</v>
          </cell>
          <cell r="Y190">
            <v>2695.3614565042517</v>
          </cell>
          <cell r="Z190">
            <v>1347.6807282521258</v>
          </cell>
          <cell r="AA190">
            <v>449.22690941737528</v>
          </cell>
          <cell r="AB190">
            <v>20.776439546856693</v>
          </cell>
          <cell r="AC190">
            <v>10</v>
          </cell>
          <cell r="AD190">
            <v>70.774834614860211</v>
          </cell>
          <cell r="AE190">
            <v>113.86722468367218</v>
          </cell>
          <cell r="AF190">
            <v>23.544387286025959</v>
          </cell>
          <cell r="AG190">
            <v>33.276067364250018</v>
          </cell>
          <cell r="AH190" t="str">
            <v>Mecánica</v>
          </cell>
          <cell r="AI190">
            <v>449.22690941737528</v>
          </cell>
          <cell r="AJ190">
            <v>10</v>
          </cell>
          <cell r="AK190">
            <v>44.922690941737528</v>
          </cell>
        </row>
        <row r="191">
          <cell r="A191" t="str">
            <v>P084</v>
          </cell>
          <cell r="B191" t="str">
            <v>PREV</v>
          </cell>
          <cell r="C191" t="str">
            <v>WWOMMIM01060500200</v>
          </cell>
          <cell r="D191" t="str">
            <v>SANTA ROSA Y MALACAS</v>
          </cell>
          <cell r="E191" t="str">
            <v>SUSTITUCIÓN DE FILTROS AGUA</v>
          </cell>
          <cell r="F191" t="str">
            <v>LOS FILTROS MECÁNICOS EN CUESTIÓN PUEDEN INSTALARSE EN CIRCUITOS DE AGUA CALIENTE O FRÍA, TIPOLOGÍA CONSTRUCTIVO PUEDE SER Y O UN TRONCO DE CONO INSERTADO ENTRE BRIDAS Y GENERALMENTE HECHO DE MALLA DE ALAMBRE O HOJA PERFORADA. DESMONTAR EL ELEMENTO FILTRANTE DE SU ALOJAMIENTO, LIMPIAR CON SISTEMAS ADECUADOS, LIMPIAR LAS BRIDAS DE MONTAJE Y DE ACOPLAMIENTO, HACER NUEVAS JUNTAS DE ESTANQUEIDAD, SUSTITUIR EL FILTRO Y VERIFICAR EL SELLADO.</v>
          </cell>
          <cell r="G191" t="str">
            <v>MMIM0106</v>
          </cell>
          <cell r="H191" t="str">
            <v>NUM</v>
          </cell>
          <cell r="I191">
            <v>1</v>
          </cell>
          <cell r="J191">
            <v>1</v>
          </cell>
          <cell r="K191">
            <v>2</v>
          </cell>
          <cell r="L191">
            <v>2</v>
          </cell>
          <cell r="M191" t="str">
            <v>NO</v>
          </cell>
          <cell r="N191">
            <v>0</v>
          </cell>
          <cell r="O191">
            <v>2</v>
          </cell>
          <cell r="P191">
            <v>8</v>
          </cell>
          <cell r="Q191">
            <v>0</v>
          </cell>
          <cell r="R191">
            <v>6</v>
          </cell>
          <cell r="S191">
            <v>24</v>
          </cell>
          <cell r="T191"/>
          <cell r="U191">
            <v>87.932478648814623</v>
          </cell>
          <cell r="V191">
            <v>87.932478648814623</v>
          </cell>
          <cell r="W191">
            <v>0</v>
          </cell>
          <cell r="X191">
            <v>527.5948718928878</v>
          </cell>
          <cell r="Y191">
            <v>527.5948718928878</v>
          </cell>
          <cell r="Z191">
            <v>2110.3794875715512</v>
          </cell>
          <cell r="AA191">
            <v>87.932478648814623</v>
          </cell>
          <cell r="AB191">
            <v>19.171538486527368</v>
          </cell>
          <cell r="AC191">
            <v>2</v>
          </cell>
          <cell r="AD191">
            <v>13.679237940820807</v>
          </cell>
          <cell r="AE191">
            <v>24.788026323733323</v>
          </cell>
          <cell r="AF191">
            <v>4.608620474256532</v>
          </cell>
          <cell r="AG191">
            <v>6.5135169369492312</v>
          </cell>
          <cell r="AH191" t="str">
            <v>Mecánica</v>
          </cell>
          <cell r="AI191">
            <v>87.932478648814623</v>
          </cell>
          <cell r="AJ191">
            <v>2</v>
          </cell>
          <cell r="AK191">
            <v>43.966239324407312</v>
          </cell>
        </row>
        <row r="192">
          <cell r="A192" t="str">
            <v>C255</v>
          </cell>
          <cell r="B192" t="str">
            <v>COND</v>
          </cell>
          <cell r="C192" t="str">
            <v>WWOMMIM01060500200</v>
          </cell>
          <cell r="D192" t="str">
            <v>VENTANILLA, SANTA ROSA Y MALACAS</v>
          </cell>
          <cell r="E192" t="str">
            <v>SUSTITUCIÓN DE FILTROS AGUA</v>
          </cell>
          <cell r="F192" t="str">
            <v>LOS FILTROS MECÁNICOS EN CUESTIÓN PUEDEN INSTALARSE EN CIRCUITOS DE AGUA CALIENTE O FRÍA, TIPOLOGÍA CONSTRUCTIVO PUEDE SER Y O UN TRONCO DE CONO INSERTADO ENTRE BRIDAS Y GENERALMENTE HECHO DE MALLA DE ALAMBRE O HOJA PERFORADA. DESMONTAR EL ELEMENTO FILTRANTE DE SU ALOJAMIENTO, LIMPIAR CON SISTEMAS ADECUADOS, LIMPIAR LAS BRIDAS DE MONTAJE Y DE ACOPLAMIENTO, HACER NUEVAS JUNTAS DE ESTANQUEIDAD, SUSTITUIR EL FILTRO Y VERIFICAR EL SELLADO.</v>
          </cell>
          <cell r="G192" t="str">
            <v>MMIM0100</v>
          </cell>
          <cell r="H192" t="str">
            <v>NUM</v>
          </cell>
          <cell r="I192">
            <v>1</v>
          </cell>
          <cell r="J192">
            <v>1</v>
          </cell>
          <cell r="K192">
            <v>2</v>
          </cell>
          <cell r="L192">
            <v>2</v>
          </cell>
          <cell r="M192" t="str">
            <v>NO</v>
          </cell>
          <cell r="N192">
            <v>1</v>
          </cell>
          <cell r="O192">
            <v>1</v>
          </cell>
          <cell r="P192">
            <v>1</v>
          </cell>
          <cell r="Q192">
            <v>3</v>
          </cell>
          <cell r="R192">
            <v>3</v>
          </cell>
          <cell r="S192">
            <v>3</v>
          </cell>
          <cell r="T192">
            <v>85.635158830664992</v>
          </cell>
          <cell r="U192">
            <v>85.635158830664992</v>
          </cell>
          <cell r="V192">
            <v>85.635158830664992</v>
          </cell>
          <cell r="W192">
            <v>256.90547649199499</v>
          </cell>
          <cell r="X192">
            <v>256.90547649199499</v>
          </cell>
          <cell r="Y192">
            <v>513.81095298398998</v>
          </cell>
          <cell r="Z192">
            <v>256.90547649199499</v>
          </cell>
          <cell r="AA192">
            <v>85.635158830664992</v>
          </cell>
          <cell r="AB192">
            <v>19.171538486527368</v>
          </cell>
          <cell r="AC192">
            <v>2</v>
          </cell>
          <cell r="AD192">
            <v>13.975620427880031</v>
          </cell>
          <cell r="AE192">
            <v>22.484900459534298</v>
          </cell>
          <cell r="AF192">
            <v>4.4882158716281442</v>
          </cell>
          <cell r="AG192">
            <v>6.3433450985677773</v>
          </cell>
          <cell r="AH192" t="str">
            <v>Mecánica</v>
          </cell>
          <cell r="AI192">
            <v>85.635158830664992</v>
          </cell>
          <cell r="AJ192">
            <v>2</v>
          </cell>
          <cell r="AK192">
            <v>42.817579415332496</v>
          </cell>
        </row>
        <row r="193">
          <cell r="A193" t="str">
            <v>C008</v>
          </cell>
          <cell r="B193" t="str">
            <v>COND</v>
          </cell>
          <cell r="C193" t="str">
            <v>WWOLEII09080100300</v>
          </cell>
          <cell r="D193" t="str">
            <v>VENTANILLA, SANTA ROSA Y MALACAS</v>
          </cell>
          <cell r="E193" t="str">
            <v>LOCALIZACIÓN Y REPARACIÓN FUGA DE AIRE</v>
          </cell>
          <cell r="F193" t="str">
            <v>LOCALIZACIÓN DE UNA FUGA DE AIRE Y SUSTITUCIÓN / REPARACIÓN DEL EMENTO CAUSANTE DE LA FUGA. INCLUYE APRIETE CIERRES, SUSTITUCIÓN CONEXIONES Y PEQUEÑOS TRAMOS DE TUBING.</v>
          </cell>
          <cell r="G193" t="str">
            <v>LEII0900</v>
          </cell>
          <cell r="H193" t="str">
            <v>NUM</v>
          </cell>
          <cell r="I193">
            <v>1</v>
          </cell>
          <cell r="J193">
            <v>4</v>
          </cell>
          <cell r="K193">
            <v>2</v>
          </cell>
          <cell r="L193">
            <v>8</v>
          </cell>
          <cell r="M193" t="str">
            <v>NO</v>
          </cell>
          <cell r="N193">
            <v>4</v>
          </cell>
          <cell r="O193">
            <v>3</v>
          </cell>
          <cell r="P193">
            <v>3</v>
          </cell>
          <cell r="Q193">
            <v>12</v>
          </cell>
          <cell r="R193">
            <v>9</v>
          </cell>
          <cell r="S193">
            <v>9</v>
          </cell>
          <cell r="T193">
            <v>378.77307852351817</v>
          </cell>
          <cell r="U193">
            <v>378.77307852351817</v>
          </cell>
          <cell r="V193">
            <v>378.77307852351817</v>
          </cell>
          <cell r="W193">
            <v>4545.2769422822184</v>
          </cell>
          <cell r="X193">
            <v>3408.9577067116634</v>
          </cell>
          <cell r="Y193">
            <v>7954.2346489938818</v>
          </cell>
          <cell r="Z193">
            <v>3408.9577067116634</v>
          </cell>
          <cell r="AA193">
            <v>378.77307852351817</v>
          </cell>
          <cell r="AB193">
            <v>23.466564118731693</v>
          </cell>
          <cell r="AC193">
            <v>8</v>
          </cell>
          <cell r="AD193">
            <v>54.863477962579829</v>
          </cell>
          <cell r="AE193">
            <v>88.267984038228946</v>
          </cell>
          <cell r="AF193">
            <v>19.851838497039736</v>
          </cell>
          <cell r="AG193">
            <v>28.057265075816161</v>
          </cell>
          <cell r="AH193" t="str">
            <v>Instrumentación</v>
          </cell>
          <cell r="AI193">
            <v>378.77307852351817</v>
          </cell>
          <cell r="AJ193">
            <v>8</v>
          </cell>
          <cell r="AK193">
            <v>47.346634815439771</v>
          </cell>
        </row>
        <row r="194">
          <cell r="A194" t="str">
            <v>P092</v>
          </cell>
          <cell r="B194" t="str">
            <v>PREV</v>
          </cell>
          <cell r="C194" t="str">
            <v>WWOMMIM01061700100</v>
          </cell>
          <cell r="D194" t="str">
            <v>VENTANILLA Y MALACAS</v>
          </cell>
          <cell r="E194" t="str">
            <v>LOCALIZACIÓN DE FUGAS DE GAS</v>
          </cell>
          <cell r="F194" t="str">
            <v>LOCALIZACIÓN DE FUGA DE GAS EN LA ESTACIÓN DE REGULACIÓN Y MEDIDA DE GAS. SE INCLUYE EL EMPLEO DE DETECTORES DE GAS, AGUA JABONOSA O SIMILAR EN TODAS LAS BRIDAS, VÁLVULAS, PICAJES, ACCESORIOS O TRAMOS DE TUBERÍA. EN CASO NECESARIO SE CONFINARÁ UN TRAMO MEDIANTE ENVOLVENTE PARA CONFIRMAR EL PUNTO DE FUGA.</v>
          </cell>
          <cell r="G194" t="str">
            <v>MMIM0106</v>
          </cell>
          <cell r="H194" t="str">
            <v>NUM</v>
          </cell>
          <cell r="I194">
            <v>1</v>
          </cell>
          <cell r="J194">
            <v>2</v>
          </cell>
          <cell r="K194">
            <v>2</v>
          </cell>
          <cell r="L194">
            <v>4</v>
          </cell>
          <cell r="M194" t="str">
            <v>SI</v>
          </cell>
          <cell r="N194">
            <v>8</v>
          </cell>
          <cell r="O194">
            <v>0</v>
          </cell>
          <cell r="P194">
            <v>4</v>
          </cell>
          <cell r="Q194">
            <v>24</v>
          </cell>
          <cell r="R194">
            <v>0</v>
          </cell>
          <cell r="S194">
            <v>12</v>
          </cell>
          <cell r="T194">
            <v>175.86495729762925</v>
          </cell>
          <cell r="U194"/>
          <cell r="V194">
            <v>175.86495729762925</v>
          </cell>
          <cell r="W194">
            <v>4220.7589751431024</v>
          </cell>
          <cell r="X194">
            <v>0</v>
          </cell>
          <cell r="Y194">
            <v>4220.7589751431024</v>
          </cell>
          <cell r="Z194">
            <v>2110.3794875715512</v>
          </cell>
          <cell r="AA194">
            <v>175.86495729762925</v>
          </cell>
          <cell r="AB194">
            <v>19.171538486527368</v>
          </cell>
          <cell r="AC194">
            <v>4</v>
          </cell>
          <cell r="AD194">
            <v>27.358475881641606</v>
          </cell>
          <cell r="AE194">
            <v>49.576052647466639</v>
          </cell>
          <cell r="AF194">
            <v>9.217240948513064</v>
          </cell>
          <cell r="AG194">
            <v>13.027033873898462</v>
          </cell>
          <cell r="AH194" t="str">
            <v>Mecánica</v>
          </cell>
          <cell r="AI194">
            <v>175.86495729762925</v>
          </cell>
          <cell r="AJ194">
            <v>4</v>
          </cell>
          <cell r="AK194">
            <v>43.966239324407312</v>
          </cell>
        </row>
        <row r="195">
          <cell r="A195" t="str">
            <v>C309</v>
          </cell>
          <cell r="B195" t="str">
            <v>COND</v>
          </cell>
          <cell r="C195" t="str">
            <v>WWOMMIM01061700100</v>
          </cell>
          <cell r="D195" t="str">
            <v>VENTANILLA, SANTA ROSA Y MALACAS</v>
          </cell>
          <cell r="E195" t="str">
            <v>LOCALIZACIÓN DE FUGAS DE GAS</v>
          </cell>
          <cell r="F195" t="str">
            <v>LOCALIZACIÓN DE FUGA DE GAS EN LA ESTACIÓN DE REGULACIÓN Y MEDIDA DE GAS. SE INCLUYE EL EMPLEO DE DETECTORES DE GAS, AGUA JABONOSA O SIMILAR EN TODAS LAS BRIDAS, VÁLVULAS, PICAJES, ACCESORIOS O TRAMOS DE TUBERÍA. EN CASO NECESARIO SE CONFINARÁ UN TRAMO MEDIANTE ENVOLVENTE PARA CONFIRMAR EL PUNTO DE FUGA.</v>
          </cell>
          <cell r="G195" t="str">
            <v>MMIM0100</v>
          </cell>
          <cell r="H195" t="str">
            <v>NUM</v>
          </cell>
          <cell r="I195">
            <v>1</v>
          </cell>
          <cell r="J195">
            <v>2</v>
          </cell>
          <cell r="K195">
            <v>2</v>
          </cell>
          <cell r="L195">
            <v>4</v>
          </cell>
          <cell r="M195" t="str">
            <v>SI</v>
          </cell>
          <cell r="N195">
            <v>1</v>
          </cell>
          <cell r="O195">
            <v>1</v>
          </cell>
          <cell r="P195">
            <v>1</v>
          </cell>
          <cell r="Q195">
            <v>3</v>
          </cell>
          <cell r="R195">
            <v>3</v>
          </cell>
          <cell r="S195">
            <v>3</v>
          </cell>
          <cell r="T195">
            <v>171.27031766132998</v>
          </cell>
          <cell r="U195">
            <v>171.27031766132998</v>
          </cell>
          <cell r="V195">
            <v>171.27031766132998</v>
          </cell>
          <cell r="W195">
            <v>513.81095298398998</v>
          </cell>
          <cell r="X195">
            <v>513.81095298398998</v>
          </cell>
          <cell r="Y195">
            <v>1027.62190596798</v>
          </cell>
          <cell r="Z195">
            <v>513.81095298398998</v>
          </cell>
          <cell r="AA195">
            <v>171.27031766132998</v>
          </cell>
          <cell r="AB195">
            <v>19.171538486527368</v>
          </cell>
          <cell r="AC195">
            <v>4</v>
          </cell>
          <cell r="AD195">
            <v>27.951240855760062</v>
          </cell>
          <cell r="AE195">
            <v>44.969800919068597</v>
          </cell>
          <cell r="AF195">
            <v>8.9764317432562883</v>
          </cell>
          <cell r="AG195">
            <v>12.686690197135555</v>
          </cell>
          <cell r="AH195" t="str">
            <v>Mecánica</v>
          </cell>
          <cell r="AI195">
            <v>171.27031766132998</v>
          </cell>
          <cell r="AJ195">
            <v>4</v>
          </cell>
          <cell r="AK195">
            <v>42.817579415332496</v>
          </cell>
        </row>
        <row r="196">
          <cell r="A196" t="str">
            <v>L054</v>
          </cell>
          <cell r="B196" t="str">
            <v>MBO + LI</v>
          </cell>
          <cell r="C196" t="str">
            <v>PEOMMPI0200LVUSR02</v>
          </cell>
          <cell r="D196" t="str">
            <v>SANTA ROSA Y MALACAS</v>
          </cell>
          <cell r="E196" t="str">
            <v>LIMPIEZAS INTERNAS EN COMPR/ALTERN UTI5</v>
          </cell>
          <cell r="F196" t="str">
            <v>LIMPIEZAS INTERNAS SEMANALES EN COMPRESORAS UTI5, UTI6, ALTERNADORES UTI5, UTI6</v>
          </cell>
          <cell r="G196" t="str">
            <v>MMPI0200</v>
          </cell>
          <cell r="H196" t="str">
            <v>NUM</v>
          </cell>
          <cell r="I196">
            <v>1</v>
          </cell>
          <cell r="J196">
            <v>4</v>
          </cell>
          <cell r="K196">
            <v>2</v>
          </cell>
          <cell r="L196">
            <v>8</v>
          </cell>
          <cell r="M196" t="str">
            <v>NO</v>
          </cell>
          <cell r="N196">
            <v>0</v>
          </cell>
          <cell r="O196">
            <v>52</v>
          </cell>
          <cell r="P196">
            <v>52</v>
          </cell>
          <cell r="Q196">
            <v>0</v>
          </cell>
          <cell r="R196">
            <v>156</v>
          </cell>
          <cell r="S196">
            <v>156</v>
          </cell>
          <cell r="T196"/>
          <cell r="U196">
            <v>244.68639999999985</v>
          </cell>
          <cell r="V196">
            <v>244.68639999999985</v>
          </cell>
          <cell r="W196">
            <v>0</v>
          </cell>
          <cell r="X196">
            <v>38171.078399999977</v>
          </cell>
          <cell r="Y196">
            <v>38171.078399999977</v>
          </cell>
          <cell r="Z196">
            <v>38171.078399999977</v>
          </cell>
          <cell r="AA196">
            <v>244.68639999999985</v>
          </cell>
          <cell r="AB196">
            <v>15.04666587574005</v>
          </cell>
          <cell r="AC196">
            <v>8</v>
          </cell>
          <cell r="AD196">
            <v>33.200886435145911</v>
          </cell>
          <cell r="AE196">
            <v>60.16303323957645</v>
          </cell>
          <cell r="AF196">
            <v>12.824234800838566</v>
          </cell>
          <cell r="AG196">
            <v>18.124918518518509</v>
          </cell>
          <cell r="AH196" t="e">
            <v>#N/A</v>
          </cell>
          <cell r="AI196">
            <v>244.68639999999985</v>
          </cell>
          <cell r="AJ196">
            <v>8</v>
          </cell>
          <cell r="AK196">
            <v>30.585799999999981</v>
          </cell>
        </row>
        <row r="197">
          <cell r="A197" t="str">
            <v>P067</v>
          </cell>
          <cell r="B197" t="str">
            <v>PREV</v>
          </cell>
          <cell r="C197" t="str">
            <v>PEOMMIM0100MMLIM13</v>
          </cell>
          <cell r="D197" t="str">
            <v>VENTANILLA Y MALACAS</v>
          </cell>
          <cell r="E197" t="str">
            <v>SOPLADO DE INTERCAMBIADOR DE CALOR</v>
          </cell>
          <cell r="F197" t="str">
            <v>LIMPIEZA Y SOPLETEADO CON AIRE A PRESIÓN DE INTERCAMBIADOR DE CALOR.</v>
          </cell>
          <cell r="G197" t="str">
            <v>MMIM0100</v>
          </cell>
          <cell r="H197" t="str">
            <v>NUM</v>
          </cell>
          <cell r="I197">
            <v>1</v>
          </cell>
          <cell r="J197">
            <v>0.5</v>
          </cell>
          <cell r="K197">
            <v>2</v>
          </cell>
          <cell r="L197">
            <v>1</v>
          </cell>
          <cell r="M197" t="str">
            <v>NO</v>
          </cell>
          <cell r="N197">
            <v>8</v>
          </cell>
          <cell r="O197">
            <v>0</v>
          </cell>
          <cell r="P197">
            <v>8</v>
          </cell>
          <cell r="Q197">
            <v>24</v>
          </cell>
          <cell r="R197">
            <v>0</v>
          </cell>
          <cell r="S197">
            <v>24</v>
          </cell>
          <cell r="T197">
            <v>43.966239324407312</v>
          </cell>
          <cell r="U197"/>
          <cell r="V197">
            <v>43.966239324407312</v>
          </cell>
          <cell r="W197">
            <v>1055.1897437857756</v>
          </cell>
          <cell r="X197">
            <v>0</v>
          </cell>
          <cell r="Y197">
            <v>1055.1897437857756</v>
          </cell>
          <cell r="Z197">
            <v>1055.1897437857756</v>
          </cell>
          <cell r="AA197">
            <v>43.966239324407312</v>
          </cell>
          <cell r="AB197">
            <v>19.171538486527368</v>
          </cell>
          <cell r="AC197">
            <v>1</v>
          </cell>
          <cell r="AD197">
            <v>6.8396189704104016</v>
          </cell>
          <cell r="AE197">
            <v>12.39401316186666</v>
          </cell>
          <cell r="AF197">
            <v>2.304310237128266</v>
          </cell>
          <cell r="AG197">
            <v>3.2567584684746156</v>
          </cell>
          <cell r="AH197" t="str">
            <v>Mecánica</v>
          </cell>
          <cell r="AI197">
            <v>43.966239324407312</v>
          </cell>
          <cell r="AJ197">
            <v>1</v>
          </cell>
          <cell r="AK197">
            <v>43.966239324407312</v>
          </cell>
        </row>
        <row r="198">
          <cell r="A198" t="str">
            <v>P012</v>
          </cell>
          <cell r="B198" t="str">
            <v>PREV</v>
          </cell>
          <cell r="C198" t="str">
            <v>PEOLEII0900MEGEN04</v>
          </cell>
          <cell r="D198" t="str">
            <v>VENTANILLA</v>
          </cell>
          <cell r="E198" t="str">
            <v>PRUEBAS ELECTRICAS PEDESTAL COJINETE</v>
          </cell>
          <cell r="F198" t="str">
            <v>LIMPÍEZA Y MEDIDA DE AISLAMIENTO PEDESTAL COJINETE ALTERNADOR</v>
          </cell>
          <cell r="G198" t="str">
            <v>LEII0900</v>
          </cell>
          <cell r="H198" t="str">
            <v>NUM</v>
          </cell>
          <cell r="I198">
            <v>1</v>
          </cell>
          <cell r="J198">
            <v>1</v>
          </cell>
          <cell r="K198">
            <v>2</v>
          </cell>
          <cell r="L198">
            <v>2</v>
          </cell>
          <cell r="M198" t="str">
            <v>NO</v>
          </cell>
          <cell r="N198">
            <v>4</v>
          </cell>
          <cell r="O198">
            <v>0</v>
          </cell>
          <cell r="P198">
            <v>0</v>
          </cell>
          <cell r="Q198">
            <v>12</v>
          </cell>
          <cell r="R198">
            <v>0</v>
          </cell>
          <cell r="S198">
            <v>0</v>
          </cell>
          <cell r="T198">
            <v>98.558844330847762</v>
          </cell>
          <cell r="U198"/>
          <cell r="V198">
            <v>0</v>
          </cell>
          <cell r="W198">
            <v>1182.7061319701731</v>
          </cell>
          <cell r="X198">
            <v>0</v>
          </cell>
          <cell r="Y198">
            <v>1182.7061319701731</v>
          </cell>
          <cell r="Z198">
            <v>0</v>
          </cell>
          <cell r="AA198">
            <v>98.558844330847762</v>
          </cell>
          <cell r="AB198">
            <v>23.057832511738386</v>
          </cell>
          <cell r="AC198">
            <v>2</v>
          </cell>
          <cell r="AD198">
            <v>14.216098922713796</v>
          </cell>
          <cell r="AE198">
            <v>25.760867370063586</v>
          </cell>
          <cell r="AF198">
            <v>5.1655578789752488</v>
          </cell>
          <cell r="AG198">
            <v>7.3006551356183529</v>
          </cell>
          <cell r="AH198" t="str">
            <v>Electricidad</v>
          </cell>
          <cell r="AI198">
            <v>98.558844330847762</v>
          </cell>
          <cell r="AJ198">
            <v>2</v>
          </cell>
          <cell r="AK198">
            <v>49.279422165423881</v>
          </cell>
        </row>
        <row r="199">
          <cell r="A199" t="str">
            <v>L059</v>
          </cell>
          <cell r="B199" t="str">
            <v>MBO + LI</v>
          </cell>
          <cell r="C199" t="str">
            <v>PEOMMPI0200LVBSR07</v>
          </cell>
          <cell r="D199" t="str">
            <v>SANTA ROSA Y MALACAS</v>
          </cell>
          <cell r="E199" t="str">
            <v xml:space="preserve">LIMPIEZA SKID BOMBAS REFORZADORAS DB5 </v>
          </cell>
          <cell r="F199" t="str">
            <v>LIMPIEZA SEMANAL SKID BOMBAS REFORZADORAS DE PETROLEO WHS Y UTI</v>
          </cell>
          <cell r="G199" t="str">
            <v>MMPI0200</v>
          </cell>
          <cell r="H199" t="str">
            <v>NUM</v>
          </cell>
          <cell r="I199">
            <v>1</v>
          </cell>
          <cell r="J199">
            <v>2</v>
          </cell>
          <cell r="K199">
            <v>2</v>
          </cell>
          <cell r="L199">
            <v>4</v>
          </cell>
          <cell r="M199" t="str">
            <v>NO</v>
          </cell>
          <cell r="N199">
            <v>0</v>
          </cell>
          <cell r="O199">
            <v>52</v>
          </cell>
          <cell r="P199">
            <v>1</v>
          </cell>
          <cell r="Q199">
            <v>0</v>
          </cell>
          <cell r="R199">
            <v>156</v>
          </cell>
          <cell r="S199">
            <v>3</v>
          </cell>
          <cell r="T199"/>
          <cell r="U199">
            <v>122.34319999999992</v>
          </cell>
          <cell r="V199">
            <v>122.34319999999992</v>
          </cell>
          <cell r="W199">
            <v>0</v>
          </cell>
          <cell r="X199">
            <v>19085.539199999988</v>
          </cell>
          <cell r="Y199">
            <v>19085.539199999988</v>
          </cell>
          <cell r="Z199">
            <v>367.02959999999979</v>
          </cell>
          <cell r="AA199">
            <v>122.34319999999992</v>
          </cell>
          <cell r="AB199">
            <v>15.04666587574005</v>
          </cell>
          <cell r="AC199">
            <v>4</v>
          </cell>
          <cell r="AD199">
            <v>16.600443217572959</v>
          </cell>
          <cell r="AE199">
            <v>30.081516619788228</v>
          </cell>
          <cell r="AF199">
            <v>6.4121174004192829</v>
          </cell>
          <cell r="AG199">
            <v>9.0624592592592546</v>
          </cell>
          <cell r="AH199" t="e">
            <v>#N/A</v>
          </cell>
          <cell r="AI199">
            <v>122.34319999999992</v>
          </cell>
          <cell r="AJ199">
            <v>4</v>
          </cell>
          <cell r="AK199">
            <v>30.585799999999981</v>
          </cell>
        </row>
        <row r="200">
          <cell r="A200" t="str">
            <v>L053</v>
          </cell>
          <cell r="B200" t="str">
            <v>MBO + LI</v>
          </cell>
          <cell r="C200" t="str">
            <v>PEOMMPI0200LVOSR01</v>
          </cell>
          <cell r="D200" t="str">
            <v>SANTA ROSA Y MALACAS</v>
          </cell>
          <cell r="E200" t="str">
            <v xml:space="preserve">LIMPIEZA INDUSTRIAL PLANTA OSMONIC </v>
          </cell>
          <cell r="F200" t="str">
            <v>LIMPIEZA SEMANAL INDUSTRIAL PLANTA OSMONIC Y TANQUES AIRE DE INSTRUMENTACION</v>
          </cell>
          <cell r="G200" t="str">
            <v>MMPI0200</v>
          </cell>
          <cell r="H200" t="str">
            <v>NUM</v>
          </cell>
          <cell r="I200">
            <v>1</v>
          </cell>
          <cell r="J200">
            <v>4</v>
          </cell>
          <cell r="K200">
            <v>2</v>
          </cell>
          <cell r="L200">
            <v>8</v>
          </cell>
          <cell r="M200" t="str">
            <v>NO</v>
          </cell>
          <cell r="N200">
            <v>0</v>
          </cell>
          <cell r="O200">
            <v>52</v>
          </cell>
          <cell r="P200">
            <v>52</v>
          </cell>
          <cell r="Q200">
            <v>0</v>
          </cell>
          <cell r="R200">
            <v>156</v>
          </cell>
          <cell r="S200">
            <v>156</v>
          </cell>
          <cell r="T200"/>
          <cell r="U200">
            <v>244.68639999999985</v>
          </cell>
          <cell r="V200">
            <v>244.68639999999985</v>
          </cell>
          <cell r="W200">
            <v>0</v>
          </cell>
          <cell r="X200">
            <v>38171.078399999977</v>
          </cell>
          <cell r="Y200">
            <v>38171.078399999977</v>
          </cell>
          <cell r="Z200">
            <v>38171.078399999977</v>
          </cell>
          <cell r="AA200">
            <v>244.68639999999985</v>
          </cell>
          <cell r="AB200">
            <v>15.04666587574005</v>
          </cell>
          <cell r="AC200">
            <v>8</v>
          </cell>
          <cell r="AD200">
            <v>33.200886435145918</v>
          </cell>
          <cell r="AE200">
            <v>60.163033239576457</v>
          </cell>
          <cell r="AF200">
            <v>12.824234800838566</v>
          </cell>
          <cell r="AG200">
            <v>18.124918518518509</v>
          </cell>
          <cell r="AH200" t="e">
            <v>#N/A</v>
          </cell>
          <cell r="AI200">
            <v>244.68639999999985</v>
          </cell>
          <cell r="AJ200">
            <v>8</v>
          </cell>
          <cell r="AK200">
            <v>30.585799999999981</v>
          </cell>
        </row>
        <row r="201">
          <cell r="A201" t="str">
            <v>L055</v>
          </cell>
          <cell r="B201" t="str">
            <v>MBO + LI</v>
          </cell>
          <cell r="C201" t="str">
            <v>PEOMMPI0200LVBSR03</v>
          </cell>
          <cell r="D201" t="str">
            <v>SANTA ROSA Y MALACAS</v>
          </cell>
          <cell r="E201" t="str">
            <v>LIMPIEZA DE TANQUE DE BORRAS</v>
          </cell>
          <cell r="F201" t="str">
            <v>LIMPIEZA SEMANAL DE TANQUE DE BORRAS</v>
          </cell>
          <cell r="G201" t="str">
            <v>MMPI0200</v>
          </cell>
          <cell r="H201" t="str">
            <v>NUM</v>
          </cell>
          <cell r="I201">
            <v>1</v>
          </cell>
          <cell r="J201">
            <v>2</v>
          </cell>
          <cell r="K201">
            <v>2</v>
          </cell>
          <cell r="L201">
            <v>4</v>
          </cell>
          <cell r="M201" t="str">
            <v>NO</v>
          </cell>
          <cell r="N201">
            <v>0</v>
          </cell>
          <cell r="O201">
            <v>52</v>
          </cell>
          <cell r="P201">
            <v>1</v>
          </cell>
          <cell r="Q201">
            <v>0</v>
          </cell>
          <cell r="R201">
            <v>156</v>
          </cell>
          <cell r="S201">
            <v>3</v>
          </cell>
          <cell r="T201"/>
          <cell r="U201">
            <v>122.34319999999992</v>
          </cell>
          <cell r="V201">
            <v>122.34319999999992</v>
          </cell>
          <cell r="W201">
            <v>0</v>
          </cell>
          <cell r="X201">
            <v>19085.539199999988</v>
          </cell>
          <cell r="Y201">
            <v>19085.539199999988</v>
          </cell>
          <cell r="Z201">
            <v>367.02959999999979</v>
          </cell>
          <cell r="AA201">
            <v>122.34319999999992</v>
          </cell>
          <cell r="AB201">
            <v>15.04666587574005</v>
          </cell>
          <cell r="AC201">
            <v>4</v>
          </cell>
          <cell r="AD201">
            <v>16.600443217572955</v>
          </cell>
          <cell r="AE201">
            <v>30.081516619788225</v>
          </cell>
          <cell r="AF201">
            <v>6.4121174004192829</v>
          </cell>
          <cell r="AG201">
            <v>9.0624592592592546</v>
          </cell>
          <cell r="AH201" t="e">
            <v>#N/A</v>
          </cell>
          <cell r="AI201">
            <v>122.34319999999992</v>
          </cell>
          <cell r="AJ201">
            <v>4</v>
          </cell>
          <cell r="AK201">
            <v>30.585799999999981</v>
          </cell>
        </row>
        <row r="202">
          <cell r="A202" t="str">
            <v>L058</v>
          </cell>
          <cell r="B202" t="str">
            <v>MBO + LI</v>
          </cell>
          <cell r="C202" t="str">
            <v>PEOMMPI0200LVUSR06</v>
          </cell>
          <cell r="D202" t="str">
            <v>SANTA ROSA Y MALACAS</v>
          </cell>
          <cell r="E202" t="str">
            <v>LIMPIEZA INTERNA COMPARTIMENTOS ELECTRICOS</v>
          </cell>
          <cell r="F202" t="str">
            <v>LIMPIEZA INTERNAS SEMANALES COMPARTIMENTOS ELECTRICOS UTI, WHS Y SMS</v>
          </cell>
          <cell r="G202" t="str">
            <v>MMPI0200</v>
          </cell>
          <cell r="H202" t="str">
            <v>NUM</v>
          </cell>
          <cell r="I202">
            <v>1</v>
          </cell>
          <cell r="J202">
            <v>3</v>
          </cell>
          <cell r="K202">
            <v>2</v>
          </cell>
          <cell r="L202">
            <v>6</v>
          </cell>
          <cell r="M202" t="str">
            <v>NO</v>
          </cell>
          <cell r="N202">
            <v>0</v>
          </cell>
          <cell r="O202">
            <v>52</v>
          </cell>
          <cell r="P202">
            <v>52</v>
          </cell>
          <cell r="Q202">
            <v>0</v>
          </cell>
          <cell r="R202">
            <v>156</v>
          </cell>
          <cell r="S202">
            <v>156</v>
          </cell>
          <cell r="T202"/>
          <cell r="U202">
            <v>183.51479999999975</v>
          </cell>
          <cell r="V202">
            <v>183.51479999999975</v>
          </cell>
          <cell r="W202">
            <v>0</v>
          </cell>
          <cell r="X202">
            <v>28628.308799999963</v>
          </cell>
          <cell r="Y202">
            <v>28628.308799999963</v>
          </cell>
          <cell r="Z202">
            <v>28628.308799999963</v>
          </cell>
          <cell r="AA202">
            <v>183.51479999999975</v>
          </cell>
          <cell r="AB202">
            <v>15.046665875740052</v>
          </cell>
          <cell r="AC202">
            <v>6</v>
          </cell>
          <cell r="AD202">
            <v>24.900664826359392</v>
          </cell>
          <cell r="AE202">
            <v>45.122274929682263</v>
          </cell>
          <cell r="AF202">
            <v>9.6181761006289186</v>
          </cell>
          <cell r="AG202">
            <v>13.593688888888872</v>
          </cell>
          <cell r="AH202" t="e">
            <v>#N/A</v>
          </cell>
          <cell r="AI202">
            <v>183.51479999999975</v>
          </cell>
          <cell r="AJ202">
            <v>6</v>
          </cell>
          <cell r="AK202">
            <v>30.58579999999996</v>
          </cell>
        </row>
        <row r="203">
          <cell r="A203" t="str">
            <v>P007</v>
          </cell>
          <cell r="B203" t="str">
            <v>PREV</v>
          </cell>
          <cell r="C203" t="str">
            <v>PEOLEII0900MECON01</v>
          </cell>
          <cell r="D203" t="str">
            <v>VENTANILLA, SANTA ROSA Y MALACAS</v>
          </cell>
          <cell r="E203" t="str">
            <v>MANTTO RECTIFICADOR INVERSOR</v>
          </cell>
          <cell r="F203" t="str">
            <v>LIMPIEZA INTERNA, AJUSTE DE TERMINALES, REV. CONEX. A TIERRA, CAMBIO FILTROS AIRE, VENTILACION, MEDICION PARAMETROS ENTRADA Y SALIDA (TENSION, CORRIENTE, RIZADO)</v>
          </cell>
          <cell r="G203" t="str">
            <v>LEII0900</v>
          </cell>
          <cell r="H203" t="str">
            <v>NUM</v>
          </cell>
          <cell r="I203">
            <v>1</v>
          </cell>
          <cell r="J203">
            <v>3</v>
          </cell>
          <cell r="K203">
            <v>2</v>
          </cell>
          <cell r="L203">
            <v>6</v>
          </cell>
          <cell r="M203" t="str">
            <v>NO</v>
          </cell>
          <cell r="N203">
            <v>7</v>
          </cell>
          <cell r="O203">
            <v>10</v>
          </cell>
          <cell r="P203">
            <v>23</v>
          </cell>
          <cell r="Q203">
            <v>21</v>
          </cell>
          <cell r="R203">
            <v>30</v>
          </cell>
          <cell r="S203">
            <v>69</v>
          </cell>
          <cell r="T203">
            <v>295.56497093236351</v>
          </cell>
          <cell r="U203">
            <v>295.56497093236351</v>
          </cell>
          <cell r="V203">
            <v>295.56497093236351</v>
          </cell>
          <cell r="W203">
            <v>6206.864389579634</v>
          </cell>
          <cell r="X203">
            <v>8866.9491279709055</v>
          </cell>
          <cell r="Y203">
            <v>15073.813517550539</v>
          </cell>
          <cell r="Z203">
            <v>20393.982994333081</v>
          </cell>
          <cell r="AA203">
            <v>295.56497093236351</v>
          </cell>
          <cell r="AB203">
            <v>23.057832511738386</v>
          </cell>
          <cell r="AC203">
            <v>6</v>
          </cell>
          <cell r="AD203">
            <v>42.613642438058555</v>
          </cell>
          <cell r="AE203">
            <v>77.219805304546995</v>
          </cell>
          <cell r="AF203">
            <v>15.490826568782152</v>
          </cell>
          <cell r="AG203">
            <v>21.893701550545444</v>
          </cell>
          <cell r="AH203" t="str">
            <v>Electricidad</v>
          </cell>
          <cell r="AI203">
            <v>295.56497093236351</v>
          </cell>
          <cell r="AJ203">
            <v>6</v>
          </cell>
          <cell r="AK203">
            <v>49.260828488727249</v>
          </cell>
        </row>
        <row r="204">
          <cell r="A204" t="str">
            <v>P025</v>
          </cell>
          <cell r="B204" t="str">
            <v>PREV</v>
          </cell>
          <cell r="C204" t="str">
            <v>PEOLEII0900METAB01</v>
          </cell>
          <cell r="D204" t="str">
            <v>VENTANILLA Y MALACAS</v>
          </cell>
          <cell r="E204" t="str">
            <v>MANTTO TABLERO MT</v>
          </cell>
          <cell r="F204" t="str">
            <v>LIMPIEZA INTERNA, AJUSTE DE TERMINALES, REV. CALEFACCIONES, VENTILACION, FILTRO, CONEX. A TIERRA, COMPONENTES.</v>
          </cell>
          <cell r="G204" t="str">
            <v>LEII0900</v>
          </cell>
          <cell r="H204" t="str">
            <v>NUM</v>
          </cell>
          <cell r="I204">
            <v>1</v>
          </cell>
          <cell r="J204">
            <v>1</v>
          </cell>
          <cell r="K204">
            <v>2</v>
          </cell>
          <cell r="L204">
            <v>2</v>
          </cell>
          <cell r="M204" t="str">
            <v>NO</v>
          </cell>
          <cell r="N204">
            <v>30</v>
          </cell>
          <cell r="O204">
            <v>0</v>
          </cell>
          <cell r="P204">
            <v>4</v>
          </cell>
          <cell r="Q204">
            <v>90</v>
          </cell>
          <cell r="R204">
            <v>0</v>
          </cell>
          <cell r="S204">
            <v>12</v>
          </cell>
          <cell r="T204">
            <v>98.521656977454526</v>
          </cell>
          <cell r="U204"/>
          <cell r="V204">
            <v>98.521656977454526</v>
          </cell>
          <cell r="W204">
            <v>8866.9491279709073</v>
          </cell>
          <cell r="X204">
            <v>0</v>
          </cell>
          <cell r="Y204">
            <v>8866.9491279709073</v>
          </cell>
          <cell r="Z204">
            <v>1182.2598837294543</v>
          </cell>
          <cell r="AA204">
            <v>98.521656977454526</v>
          </cell>
          <cell r="AB204">
            <v>23.057832511738386</v>
          </cell>
          <cell r="AC204">
            <v>2</v>
          </cell>
          <cell r="AD204">
            <v>14.204547479352861</v>
          </cell>
          <cell r="AE204">
            <v>25.739935101515684</v>
          </cell>
          <cell r="AF204">
            <v>5.1636088562607192</v>
          </cell>
          <cell r="AG204">
            <v>7.2979005168484834</v>
          </cell>
          <cell r="AH204" t="str">
            <v>Electricidad</v>
          </cell>
          <cell r="AI204">
            <v>98.521656977454526</v>
          </cell>
          <cell r="AJ204">
            <v>2</v>
          </cell>
          <cell r="AK204">
            <v>49.260828488727263</v>
          </cell>
        </row>
        <row r="205">
          <cell r="A205" t="str">
            <v>L056</v>
          </cell>
          <cell r="B205" t="str">
            <v>MBO + LI</v>
          </cell>
          <cell r="C205" t="str">
            <v>PEOMMPI0200LVBSR04</v>
          </cell>
          <cell r="D205" t="str">
            <v>SANTA ROSA</v>
          </cell>
          <cell r="E205" t="str">
            <v>LIMPIEZA INTERNA BBC Y SOTANOS CILINDROS</v>
          </cell>
          <cell r="F205" t="str">
            <v>LIMPIEZA INTERNA SEMANAL BBC Y ZOTANOS Y CUARTO DE CILINDROS</v>
          </cell>
          <cell r="G205" t="str">
            <v>MMPI0200</v>
          </cell>
          <cell r="H205" t="str">
            <v>NUM</v>
          </cell>
          <cell r="I205">
            <v>1</v>
          </cell>
          <cell r="J205">
            <v>2</v>
          </cell>
          <cell r="K205">
            <v>3</v>
          </cell>
          <cell r="L205">
            <v>6</v>
          </cell>
          <cell r="M205" t="str">
            <v>NO</v>
          </cell>
          <cell r="N205">
            <v>0</v>
          </cell>
          <cell r="O205">
            <v>52</v>
          </cell>
          <cell r="P205">
            <v>0</v>
          </cell>
          <cell r="Q205">
            <v>0</v>
          </cell>
          <cell r="R205">
            <v>156</v>
          </cell>
          <cell r="S205">
            <v>0</v>
          </cell>
          <cell r="T205"/>
          <cell r="U205">
            <v>978.7455999999994</v>
          </cell>
          <cell r="V205">
            <v>0</v>
          </cell>
          <cell r="W205">
            <v>0</v>
          </cell>
          <cell r="X205">
            <v>152684.31359999991</v>
          </cell>
          <cell r="Y205">
            <v>152684.31359999991</v>
          </cell>
          <cell r="Z205">
            <v>0</v>
          </cell>
          <cell r="AA205">
            <v>978.7455999999994</v>
          </cell>
          <cell r="AB205">
            <v>15.04666587574005</v>
          </cell>
          <cell r="AC205">
            <v>32</v>
          </cell>
          <cell r="AD205">
            <v>132.8035457405837</v>
          </cell>
          <cell r="AE205">
            <v>240.65213295830591</v>
          </cell>
          <cell r="AF205">
            <v>51.296939203354263</v>
          </cell>
          <cell r="AG205">
            <v>72.499674074074036</v>
          </cell>
          <cell r="AH205" t="e">
            <v>#N/A</v>
          </cell>
          <cell r="AI205">
            <v>978.7455999999994</v>
          </cell>
          <cell r="AJ205">
            <v>6</v>
          </cell>
          <cell r="AK205">
            <v>163.12426666666656</v>
          </cell>
        </row>
        <row r="206">
          <cell r="A206" t="str">
            <v>L020</v>
          </cell>
          <cell r="B206" t="str">
            <v>MBO + LI</v>
          </cell>
          <cell r="C206" t="str">
            <v>PEOMMPI0200LV1AV4</v>
          </cell>
          <cell r="D206" t="str">
            <v>VENTANILLA</v>
          </cell>
          <cell r="E206" t="str">
            <v>LIMPIEZA INTERNA DE TANQUE</v>
          </cell>
          <cell r="F206" t="str">
            <v>LIMPIEZA INTERNA ANUAL DE TANQUE: TANQUES BLOWDOWN HRSG11, HRSG12</v>
          </cell>
          <cell r="G206" t="str">
            <v>MMPI0200</v>
          </cell>
          <cell r="H206" t="str">
            <v>NUM</v>
          </cell>
          <cell r="I206">
            <v>2</v>
          </cell>
          <cell r="J206">
            <v>9</v>
          </cell>
          <cell r="K206">
            <v>4</v>
          </cell>
          <cell r="L206">
            <v>72</v>
          </cell>
          <cell r="M206" t="str">
            <v>SI</v>
          </cell>
          <cell r="N206">
            <v>2</v>
          </cell>
          <cell r="O206">
            <v>0</v>
          </cell>
          <cell r="P206">
            <v>0</v>
          </cell>
          <cell r="Q206">
            <v>6</v>
          </cell>
          <cell r="R206">
            <v>0</v>
          </cell>
          <cell r="S206">
            <v>0</v>
          </cell>
          <cell r="T206">
            <v>2058.2702606198836</v>
          </cell>
          <cell r="U206"/>
          <cell r="V206">
            <v>0</v>
          </cell>
          <cell r="W206">
            <v>12349.621563719302</v>
          </cell>
          <cell r="X206">
            <v>0</v>
          </cell>
          <cell r="Y206">
            <v>12349.621563719302</v>
          </cell>
          <cell r="Z206">
            <v>0</v>
          </cell>
          <cell r="AA206">
            <v>2058.2702606198836</v>
          </cell>
          <cell r="AB206">
            <v>15.04666587574005</v>
          </cell>
          <cell r="AC206">
            <v>72</v>
          </cell>
          <cell r="AD206">
            <v>273.90063555562045</v>
          </cell>
          <cell r="AE206">
            <v>440.66941843851379</v>
          </cell>
          <cell r="AF206">
            <v>107.87579982284507</v>
          </cell>
          <cell r="AG206">
            <v>152.46446374962102</v>
          </cell>
          <cell r="AH206" t="str">
            <v>Limpieza</v>
          </cell>
          <cell r="AI206">
            <v>2058.2702606198836</v>
          </cell>
          <cell r="AJ206">
            <v>72</v>
          </cell>
          <cell r="AK206">
            <v>28.587086953053941</v>
          </cell>
        </row>
        <row r="207">
          <cell r="A207" t="str">
            <v>L048</v>
          </cell>
          <cell r="B207" t="str">
            <v>MBO + LI</v>
          </cell>
          <cell r="C207" t="str">
            <v>PEOMMPI0200LV1MCV8</v>
          </cell>
          <cell r="D207" t="str">
            <v>VENTANILLA</v>
          </cell>
          <cell r="E207" t="str">
            <v>LIMPIEZA INDUSTRIAL TECHO CONDENSADOR</v>
          </cell>
          <cell r="F207" t="str">
            <v>LIMPIEZA INDUSTRIAL TRIMESTRAL TECHO, PAREDES DE CONDENSADOR Y BARANDAS DE TURBINA DE VAPOR</v>
          </cell>
          <cell r="G207" t="str">
            <v>MMPI0200</v>
          </cell>
          <cell r="H207" t="str">
            <v>NUM</v>
          </cell>
          <cell r="I207">
            <v>1</v>
          </cell>
          <cell r="J207">
            <v>9</v>
          </cell>
          <cell r="K207">
            <v>4</v>
          </cell>
          <cell r="L207">
            <v>36</v>
          </cell>
          <cell r="M207" t="str">
            <v>SI</v>
          </cell>
          <cell r="N207">
            <v>4</v>
          </cell>
          <cell r="O207">
            <v>0</v>
          </cell>
          <cell r="P207">
            <v>0</v>
          </cell>
          <cell r="Q207">
            <v>12</v>
          </cell>
          <cell r="R207">
            <v>0</v>
          </cell>
          <cell r="S207">
            <v>0</v>
          </cell>
          <cell r="T207">
            <v>978.74559999999826</v>
          </cell>
          <cell r="U207"/>
          <cell r="V207">
            <v>0</v>
          </cell>
          <cell r="W207">
            <v>11744.947199999979</v>
          </cell>
          <cell r="X207">
            <v>0</v>
          </cell>
          <cell r="Y207">
            <v>11744.947199999979</v>
          </cell>
          <cell r="Z207">
            <v>0</v>
          </cell>
          <cell r="AA207">
            <v>978.74559999999826</v>
          </cell>
          <cell r="AB207">
            <v>15.04666587574005</v>
          </cell>
          <cell r="AC207">
            <v>32</v>
          </cell>
          <cell r="AD207">
            <v>143.14866285779283</v>
          </cell>
          <cell r="AE207">
            <v>230.30701584109565</v>
          </cell>
          <cell r="AF207">
            <v>51.296939203354206</v>
          </cell>
          <cell r="AG207">
            <v>72.499674074073951</v>
          </cell>
          <cell r="AH207" t="e">
            <v>#N/A</v>
          </cell>
          <cell r="AI207">
            <v>978.74559999999826</v>
          </cell>
          <cell r="AJ207">
            <v>36</v>
          </cell>
          <cell r="AK207">
            <v>27.18737777777773</v>
          </cell>
        </row>
        <row r="208">
          <cell r="A208" t="str">
            <v>L050</v>
          </cell>
          <cell r="B208" t="str">
            <v>MBO + LI</v>
          </cell>
          <cell r="C208" t="str">
            <v>PEOMMPI0200LV1MTV1</v>
          </cell>
          <cell r="D208" t="str">
            <v>VENTANILLA Y MALACAS</v>
          </cell>
          <cell r="E208" t="str">
            <v>LIMPIEZA INDUSTRIAL DE GEOMEMBRANAS TQS</v>
          </cell>
          <cell r="F208" t="str">
            <v>LIMPIEZA INDUSTRIAL TRIMESTRAL DE GEOMEMBRANAS Y TUBERIAS TK1,TQ2,TQ3 Y TQ4</v>
          </cell>
          <cell r="G208" t="str">
            <v>MMPI0200</v>
          </cell>
          <cell r="H208" t="str">
            <v>NUM</v>
          </cell>
          <cell r="I208">
            <v>2</v>
          </cell>
          <cell r="J208">
            <v>9</v>
          </cell>
          <cell r="K208">
            <v>4</v>
          </cell>
          <cell r="L208">
            <v>72</v>
          </cell>
          <cell r="M208" t="str">
            <v>NO</v>
          </cell>
          <cell r="N208">
            <v>4</v>
          </cell>
          <cell r="O208">
            <v>0</v>
          </cell>
          <cell r="P208">
            <v>2</v>
          </cell>
          <cell r="Q208">
            <v>12</v>
          </cell>
          <cell r="R208">
            <v>0</v>
          </cell>
          <cell r="S208">
            <v>6</v>
          </cell>
          <cell r="T208">
            <v>1957.4912000000008</v>
          </cell>
          <cell r="U208"/>
          <cell r="V208">
            <v>1957.4912000000008</v>
          </cell>
          <cell r="W208">
            <v>23489.894400000012</v>
          </cell>
          <cell r="X208">
            <v>0</v>
          </cell>
          <cell r="Y208">
            <v>23489.894400000012</v>
          </cell>
          <cell r="Z208">
            <v>11744.947200000006</v>
          </cell>
          <cell r="AA208">
            <v>1957.4912000000008</v>
          </cell>
          <cell r="AB208">
            <v>15.04666587574005</v>
          </cell>
          <cell r="AC208">
            <v>64</v>
          </cell>
          <cell r="AD208">
            <v>286.29732571558708</v>
          </cell>
          <cell r="AE208">
            <v>460.61403168219357</v>
          </cell>
          <cell r="AF208">
            <v>102.59387840670863</v>
          </cell>
          <cell r="AG208">
            <v>144.99934814814821</v>
          </cell>
          <cell r="AH208" t="e">
            <v>#N/A</v>
          </cell>
          <cell r="AI208">
            <v>1957.4912000000008</v>
          </cell>
          <cell r="AJ208">
            <v>72</v>
          </cell>
          <cell r="AK208">
            <v>27.18737777777779</v>
          </cell>
        </row>
        <row r="209">
          <cell r="A209" t="str">
            <v>L049</v>
          </cell>
          <cell r="B209" t="str">
            <v>MBO + LI</v>
          </cell>
          <cell r="C209" t="str">
            <v>PEOMMPI0200LV1MHV09</v>
          </cell>
          <cell r="D209" t="str">
            <v>VENTANILLA Y MALACAS</v>
          </cell>
          <cell r="E209" t="str">
            <v>LIMPIEZA INDUSTRIAL BARANDAS HRSG</v>
          </cell>
          <cell r="F209" t="str">
            <v>LIMPIEZA INDUSTRIAL TRIMESTRAL DE BARANDAS Y ESTRUCTURAS EN TODOS LOS NIVELES POR HRSG</v>
          </cell>
          <cell r="G209" t="str">
            <v>MMPI0200</v>
          </cell>
          <cell r="H209" t="str">
            <v>NUM</v>
          </cell>
          <cell r="I209">
            <v>1</v>
          </cell>
          <cell r="J209">
            <v>9</v>
          </cell>
          <cell r="K209">
            <v>4</v>
          </cell>
          <cell r="L209">
            <v>36</v>
          </cell>
          <cell r="M209" t="str">
            <v>SI</v>
          </cell>
          <cell r="N209">
            <v>4</v>
          </cell>
          <cell r="O209">
            <v>0</v>
          </cell>
          <cell r="P209">
            <v>4</v>
          </cell>
          <cell r="Q209">
            <v>12</v>
          </cell>
          <cell r="R209">
            <v>0</v>
          </cell>
          <cell r="S209">
            <v>12</v>
          </cell>
          <cell r="T209">
            <v>1101.0888</v>
          </cell>
          <cell r="U209"/>
          <cell r="V209">
            <v>1101.0888</v>
          </cell>
          <cell r="W209">
            <v>13213.0656</v>
          </cell>
          <cell r="X209">
            <v>0</v>
          </cell>
          <cell r="Y209">
            <v>13213.0656</v>
          </cell>
          <cell r="Z209">
            <v>13213.0656</v>
          </cell>
          <cell r="AA209">
            <v>1101.0888</v>
          </cell>
          <cell r="AB209">
            <v>15.04666587574005</v>
          </cell>
          <cell r="AC209">
            <v>36</v>
          </cell>
          <cell r="AD209">
            <v>161.04224571501766</v>
          </cell>
          <cell r="AE209">
            <v>259.09539282123382</v>
          </cell>
          <cell r="AF209">
            <v>57.70905660377359</v>
          </cell>
          <cell r="AG209">
            <v>81.562133333333335</v>
          </cell>
          <cell r="AH209" t="e">
            <v>#N/A</v>
          </cell>
          <cell r="AI209">
            <v>1101.0888</v>
          </cell>
          <cell r="AJ209">
            <v>36</v>
          </cell>
          <cell r="AK209">
            <v>30.585799999999999</v>
          </cell>
        </row>
        <row r="210">
          <cell r="A210" t="str">
            <v>L036</v>
          </cell>
          <cell r="B210" t="str">
            <v>MBO + LI</v>
          </cell>
          <cell r="C210" t="str">
            <v>PEOMMPI0200LVTQM4</v>
          </cell>
          <cell r="D210" t="str">
            <v>MALACAS</v>
          </cell>
          <cell r="E210" t="str">
            <v>LIMP IND TANQ PLANTA AGUA PROM+B2INENT</v>
          </cell>
          <cell r="F210" t="str">
            <v>LIMPIEZA INDUSTRIAL TANQUES PLANTA AGUA PROM+B2INENT</v>
          </cell>
          <cell r="G210" t="str">
            <v>MMPI0200</v>
          </cell>
          <cell r="H210" t="str">
            <v>NUM</v>
          </cell>
          <cell r="I210">
            <v>2</v>
          </cell>
          <cell r="J210">
            <v>9</v>
          </cell>
          <cell r="K210">
            <v>4</v>
          </cell>
          <cell r="L210">
            <v>72</v>
          </cell>
          <cell r="M210" t="str">
            <v>SI</v>
          </cell>
          <cell r="N210">
            <v>0</v>
          </cell>
          <cell r="O210">
            <v>0</v>
          </cell>
          <cell r="P210">
            <v>14</v>
          </cell>
          <cell r="Q210">
            <v>0</v>
          </cell>
          <cell r="R210">
            <v>0</v>
          </cell>
          <cell r="S210">
            <v>42</v>
          </cell>
          <cell r="T210"/>
          <cell r="U210"/>
          <cell r="V210">
            <v>2717.1056445623126</v>
          </cell>
          <cell r="W210">
            <v>0</v>
          </cell>
          <cell r="X210">
            <v>0</v>
          </cell>
          <cell r="Y210">
            <v>0</v>
          </cell>
          <cell r="Z210">
            <v>114118.43707161713</v>
          </cell>
          <cell r="AA210">
            <v>2717.1056445623126</v>
          </cell>
          <cell r="AB210">
            <v>15.04666587574005</v>
          </cell>
          <cell r="AC210">
            <v>72</v>
          </cell>
          <cell r="AD210">
            <v>513.1240802367804</v>
          </cell>
          <cell r="AE210">
            <v>776.94858027589726</v>
          </cell>
          <cell r="AF210">
            <v>142.40595621395769</v>
          </cell>
          <cell r="AG210">
            <v>201.26708478239354</v>
          </cell>
          <cell r="AH210" t="str">
            <v>Limpieza</v>
          </cell>
          <cell r="AI210">
            <v>2717.1056445623126</v>
          </cell>
          <cell r="AJ210">
            <v>72</v>
          </cell>
          <cell r="AK210">
            <v>37.737578396698787</v>
          </cell>
        </row>
        <row r="211">
          <cell r="A211" t="str">
            <v>L037</v>
          </cell>
          <cell r="B211" t="str">
            <v>MBO + LI</v>
          </cell>
          <cell r="C211" t="str">
            <v>PEOMMPI0200LVTQM5</v>
          </cell>
          <cell r="D211" t="str">
            <v>MALACAS</v>
          </cell>
          <cell r="E211" t="str">
            <v>LIMP IND TANQUES PLANTA AGUA CHRIST</v>
          </cell>
          <cell r="F211" t="str">
            <v>LIMPIEZA INDUSTRIAL TANQUES PLANTA AGUA CHRIST</v>
          </cell>
          <cell r="G211" t="str">
            <v>MMPI0200</v>
          </cell>
          <cell r="H211" t="str">
            <v>NUM</v>
          </cell>
          <cell r="I211">
            <v>2</v>
          </cell>
          <cell r="J211">
            <v>9</v>
          </cell>
          <cell r="K211">
            <v>4</v>
          </cell>
          <cell r="L211">
            <v>72</v>
          </cell>
          <cell r="M211" t="str">
            <v>SI</v>
          </cell>
          <cell r="N211">
            <v>0</v>
          </cell>
          <cell r="O211">
            <v>0</v>
          </cell>
          <cell r="P211">
            <v>28</v>
          </cell>
          <cell r="Q211">
            <v>0</v>
          </cell>
          <cell r="R211">
            <v>0</v>
          </cell>
          <cell r="S211">
            <v>84</v>
          </cell>
          <cell r="T211"/>
          <cell r="U211"/>
          <cell r="V211">
            <v>2717.1056445623126</v>
          </cell>
          <cell r="W211">
            <v>0</v>
          </cell>
          <cell r="X211">
            <v>0</v>
          </cell>
          <cell r="Y211">
            <v>0</v>
          </cell>
          <cell r="Z211">
            <v>228236.87414323425</v>
          </cell>
          <cell r="AA211">
            <v>2717.1056445623126</v>
          </cell>
          <cell r="AB211">
            <v>15.04666587574005</v>
          </cell>
          <cell r="AC211">
            <v>72</v>
          </cell>
          <cell r="AD211">
            <v>513.12408023678051</v>
          </cell>
          <cell r="AE211">
            <v>776.94858027589737</v>
          </cell>
          <cell r="AF211">
            <v>142.40595621395769</v>
          </cell>
          <cell r="AG211">
            <v>201.26708478239354</v>
          </cell>
          <cell r="AH211" t="str">
            <v>Limpieza</v>
          </cell>
          <cell r="AI211">
            <v>2717.1056445623126</v>
          </cell>
          <cell r="AJ211">
            <v>72</v>
          </cell>
          <cell r="AK211">
            <v>37.737578396698787</v>
          </cell>
        </row>
        <row r="212">
          <cell r="A212" t="str">
            <v>L033</v>
          </cell>
          <cell r="B212" t="str">
            <v>MBO + LI</v>
          </cell>
          <cell r="C212" t="str">
            <v>PEOMMPI0200LVTQM1</v>
          </cell>
          <cell r="D212" t="str">
            <v>MALACAS</v>
          </cell>
          <cell r="E212" t="str">
            <v>LIMP IND TANQUES PETROLEO 6000 M3</v>
          </cell>
          <cell r="F212" t="str">
            <v>LIMPIEZA INDUSTRIAL TANQUES PETROLEO 6000 M3</v>
          </cell>
          <cell r="G212" t="str">
            <v>MMPI0200</v>
          </cell>
          <cell r="H212" t="str">
            <v>NUM</v>
          </cell>
          <cell r="I212">
            <v>4</v>
          </cell>
          <cell r="J212">
            <v>9</v>
          </cell>
          <cell r="K212">
            <v>7</v>
          </cell>
          <cell r="L212">
            <v>252</v>
          </cell>
          <cell r="M212" t="str">
            <v>SI</v>
          </cell>
          <cell r="N212">
            <v>0</v>
          </cell>
          <cell r="O212">
            <v>0</v>
          </cell>
          <cell r="P212">
            <v>4</v>
          </cell>
          <cell r="Q212">
            <v>0</v>
          </cell>
          <cell r="R212">
            <v>0</v>
          </cell>
          <cell r="S212">
            <v>12</v>
          </cell>
          <cell r="T212"/>
          <cell r="U212"/>
          <cell r="V212">
            <v>9509.8697559680841</v>
          </cell>
          <cell r="W212">
            <v>0</v>
          </cell>
          <cell r="X212">
            <v>0</v>
          </cell>
          <cell r="Y212">
            <v>0</v>
          </cell>
          <cell r="Z212">
            <v>114118.43707161701</v>
          </cell>
          <cell r="AA212">
            <v>9509.8697559680841</v>
          </cell>
          <cell r="AB212">
            <v>15.046665875740048</v>
          </cell>
          <cell r="AC212">
            <v>252</v>
          </cell>
          <cell r="AD212">
            <v>1795.9342808287279</v>
          </cell>
          <cell r="AE212">
            <v>2719.3200309656354</v>
          </cell>
          <cell r="AF212">
            <v>498.42084674885132</v>
          </cell>
          <cell r="AG212">
            <v>704.43479673837658</v>
          </cell>
          <cell r="AH212" t="str">
            <v>Limpieza</v>
          </cell>
          <cell r="AI212">
            <v>9509.8697559680841</v>
          </cell>
          <cell r="AJ212">
            <v>252</v>
          </cell>
          <cell r="AK212">
            <v>37.737578396698744</v>
          </cell>
        </row>
        <row r="213">
          <cell r="A213" t="str">
            <v>L025</v>
          </cell>
          <cell r="B213" t="str">
            <v>MBO + LI</v>
          </cell>
          <cell r="C213" t="str">
            <v>PEOMMPI0200LVTKSR</v>
          </cell>
          <cell r="D213" t="str">
            <v>SANTA ROSA</v>
          </cell>
          <cell r="E213" t="str">
            <v xml:space="preserve"> LIMP IND  DIESEL TK4  TK 5 - 1500 M3</v>
          </cell>
          <cell r="F213" t="str">
            <v>LIMPIEZA INDUSTRIAL TANQUES DIESEL (TK4 / TK 5 - 1500 M3)</v>
          </cell>
          <cell r="G213" t="str">
            <v>MMPI0200</v>
          </cell>
          <cell r="H213" t="str">
            <v>NUM</v>
          </cell>
          <cell r="I213">
            <v>2</v>
          </cell>
          <cell r="J213">
            <v>9</v>
          </cell>
          <cell r="K213">
            <v>7</v>
          </cell>
          <cell r="L213">
            <v>126</v>
          </cell>
          <cell r="M213" t="str">
            <v>SI</v>
          </cell>
          <cell r="N213">
            <v>0</v>
          </cell>
          <cell r="O213">
            <v>8</v>
          </cell>
          <cell r="P213">
            <v>0</v>
          </cell>
          <cell r="Q213">
            <v>0</v>
          </cell>
          <cell r="R213">
            <v>24</v>
          </cell>
          <cell r="S213">
            <v>0</v>
          </cell>
          <cell r="T213"/>
          <cell r="U213">
            <v>3784.8915905770336</v>
          </cell>
          <cell r="V213">
            <v>0</v>
          </cell>
          <cell r="W213">
            <v>0</v>
          </cell>
          <cell r="X213">
            <v>90837.398173848807</v>
          </cell>
          <cell r="Y213">
            <v>90837.398173848807</v>
          </cell>
          <cell r="Z213">
            <v>0</v>
          </cell>
          <cell r="AA213">
            <v>3784.8915905770336</v>
          </cell>
          <cell r="AB213">
            <v>16.683744067487662</v>
          </cell>
          <cell r="AC213">
            <v>126</v>
          </cell>
          <cell r="AD213">
            <v>461.50623309690508</v>
          </cell>
          <cell r="AE213">
            <v>742.50168471501797</v>
          </cell>
          <cell r="AF213">
            <v>198.3695802189221</v>
          </cell>
          <cell r="AG213">
            <v>280.36234004274326</v>
          </cell>
          <cell r="AH213" t="str">
            <v>Limpieza</v>
          </cell>
          <cell r="AI213">
            <v>3784.8915905770336</v>
          </cell>
          <cell r="AJ213">
            <v>126</v>
          </cell>
          <cell r="AK213">
            <v>30.038822147436775</v>
          </cell>
        </row>
        <row r="214">
          <cell r="A214" t="str">
            <v>L035</v>
          </cell>
          <cell r="B214" t="str">
            <v>MBO + LI</v>
          </cell>
          <cell r="C214" t="str">
            <v>PEOMMPI0200LVTQM3</v>
          </cell>
          <cell r="D214" t="str">
            <v>MALACAS</v>
          </cell>
          <cell r="E214" t="str">
            <v>LIMP IND TANQUES AGUA 2600 M3, 6000 M3</v>
          </cell>
          <cell r="F214" t="str">
            <v>LIMPIEZA INDUSTRIAL TANQUES AGUA 2600 M3 / 6000 M3</v>
          </cell>
          <cell r="G214" t="str">
            <v>MMPI0200</v>
          </cell>
          <cell r="H214" t="str">
            <v>NUM</v>
          </cell>
          <cell r="I214">
            <v>2</v>
          </cell>
          <cell r="J214">
            <v>9</v>
          </cell>
          <cell r="K214">
            <v>7</v>
          </cell>
          <cell r="L214">
            <v>126</v>
          </cell>
          <cell r="M214" t="str">
            <v>SI</v>
          </cell>
          <cell r="N214">
            <v>0</v>
          </cell>
          <cell r="O214">
            <v>0</v>
          </cell>
          <cell r="P214">
            <v>2</v>
          </cell>
          <cell r="Q214">
            <v>0</v>
          </cell>
          <cell r="R214">
            <v>0</v>
          </cell>
          <cell r="S214">
            <v>6</v>
          </cell>
          <cell r="T214"/>
          <cell r="U214"/>
          <cell r="V214">
            <v>4754.9348779840448</v>
          </cell>
          <cell r="W214">
            <v>0</v>
          </cell>
          <cell r="X214">
            <v>0</v>
          </cell>
          <cell r="Y214">
            <v>0</v>
          </cell>
          <cell r="Z214">
            <v>28529.60926790427</v>
          </cell>
          <cell r="AA214">
            <v>4754.9348779840448</v>
          </cell>
          <cell r="AB214">
            <v>15.046665875740048</v>
          </cell>
          <cell r="AC214">
            <v>126</v>
          </cell>
          <cell r="AD214">
            <v>897.96714041436508</v>
          </cell>
          <cell r="AE214">
            <v>1359.6600154828195</v>
          </cell>
          <cell r="AF214">
            <v>249.21042337442583</v>
          </cell>
          <cell r="AG214">
            <v>352.21739836918852</v>
          </cell>
          <cell r="AH214" t="str">
            <v>Limpieza</v>
          </cell>
          <cell r="AI214">
            <v>4754.9348779840448</v>
          </cell>
          <cell r="AJ214">
            <v>126</v>
          </cell>
          <cell r="AK214">
            <v>37.737578396698765</v>
          </cell>
        </row>
        <row r="215">
          <cell r="A215" t="str">
            <v>L034</v>
          </cell>
          <cell r="B215" t="str">
            <v>MBO + LI</v>
          </cell>
          <cell r="C215" t="str">
            <v>PEOMMPI0200LVTQM2</v>
          </cell>
          <cell r="D215" t="str">
            <v>MALACAS</v>
          </cell>
          <cell r="E215" t="str">
            <v>LIMP IND TANQUES 200 M3, 750M3, 1400 M3</v>
          </cell>
          <cell r="F215" t="str">
            <v>LIMPIEZA INDUSTRIAL TANQUES 200 M3 / 750M3 / 1400 M3</v>
          </cell>
          <cell r="G215" t="str">
            <v>MMPI0200</v>
          </cell>
          <cell r="H215" t="str">
            <v>NUM</v>
          </cell>
          <cell r="I215">
            <v>1</v>
          </cell>
          <cell r="J215">
            <v>9</v>
          </cell>
          <cell r="K215">
            <v>5</v>
          </cell>
          <cell r="L215">
            <v>45</v>
          </cell>
          <cell r="M215" t="str">
            <v>SI</v>
          </cell>
          <cell r="N215">
            <v>0</v>
          </cell>
          <cell r="O215">
            <v>0</v>
          </cell>
          <cell r="P215">
            <v>10</v>
          </cell>
          <cell r="Q215">
            <v>0</v>
          </cell>
          <cell r="R215">
            <v>0</v>
          </cell>
          <cell r="S215">
            <v>30</v>
          </cell>
          <cell r="T215"/>
          <cell r="U215"/>
          <cell r="V215">
            <v>1698.1910278514451</v>
          </cell>
          <cell r="W215">
            <v>0</v>
          </cell>
          <cell r="X215">
            <v>0</v>
          </cell>
          <cell r="Y215">
            <v>0</v>
          </cell>
          <cell r="Z215">
            <v>50945.730835543356</v>
          </cell>
          <cell r="AA215">
            <v>1698.1910278514451</v>
          </cell>
          <cell r="AB215">
            <v>15.046665875740048</v>
          </cell>
          <cell r="AC215">
            <v>45</v>
          </cell>
          <cell r="AD215">
            <v>320.70255014798772</v>
          </cell>
          <cell r="AE215">
            <v>485.59286267243579</v>
          </cell>
          <cell r="AF215">
            <v>89.003722633723541</v>
          </cell>
          <cell r="AG215">
            <v>125.79192798899594</v>
          </cell>
          <cell r="AH215" t="str">
            <v>Limpieza</v>
          </cell>
          <cell r="AI215">
            <v>1698.1910278514451</v>
          </cell>
          <cell r="AJ215">
            <v>45</v>
          </cell>
          <cell r="AK215">
            <v>37.73757839669878</v>
          </cell>
        </row>
        <row r="216">
          <cell r="A216" t="str">
            <v>L026</v>
          </cell>
          <cell r="B216" t="str">
            <v>MBO + LI</v>
          </cell>
          <cell r="C216" t="str">
            <v>PEOMMPI0200LVTQ1SR</v>
          </cell>
          <cell r="D216" t="str">
            <v>SANTA ROSA Y MALACAS</v>
          </cell>
          <cell r="E216" t="str">
            <v xml:space="preserve"> LIMP IND TANQ AGUA CRUDA Y DEMI 1150 M3</v>
          </cell>
          <cell r="F216" t="str">
            <v>LIMPIEZA INDUSTRIAL TANQUE (AGUA CRUDA / AGUA DEMI - 1150 M3)</v>
          </cell>
          <cell r="G216" t="str">
            <v>MMPI0200</v>
          </cell>
          <cell r="H216" t="str">
            <v>NUM</v>
          </cell>
          <cell r="I216">
            <v>2</v>
          </cell>
          <cell r="J216">
            <v>9</v>
          </cell>
          <cell r="K216">
            <v>3</v>
          </cell>
          <cell r="L216">
            <v>54</v>
          </cell>
          <cell r="M216" t="str">
            <v>SI</v>
          </cell>
          <cell r="N216">
            <v>0</v>
          </cell>
          <cell r="O216">
            <v>4</v>
          </cell>
          <cell r="P216">
            <v>4</v>
          </cell>
          <cell r="Q216">
            <v>0</v>
          </cell>
          <cell r="R216">
            <v>12</v>
          </cell>
          <cell r="S216">
            <v>12</v>
          </cell>
          <cell r="T216"/>
          <cell r="U216">
            <v>1487.1467964621738</v>
          </cell>
          <cell r="V216">
            <v>1487.1467964621738</v>
          </cell>
          <cell r="W216">
            <v>0</v>
          </cell>
          <cell r="X216">
            <v>17845.761557546088</v>
          </cell>
          <cell r="Y216">
            <v>17845.761557546088</v>
          </cell>
          <cell r="Z216">
            <v>17845.761557546088</v>
          </cell>
          <cell r="AA216">
            <v>1487.1467964621738</v>
          </cell>
          <cell r="AB216">
            <v>15.046665875740052</v>
          </cell>
          <cell r="AC216">
            <v>54</v>
          </cell>
          <cell r="AD216">
            <v>186.48911596312448</v>
          </cell>
          <cell r="AE216">
            <v>300.03599703183045</v>
          </cell>
          <cell r="AF216">
            <v>77.942704217095056</v>
          </cell>
          <cell r="AG216">
            <v>110.15902196016103</v>
          </cell>
          <cell r="AH216" t="str">
            <v>Limpieza</v>
          </cell>
          <cell r="AI216">
            <v>1487.1467964621738</v>
          </cell>
          <cell r="AJ216">
            <v>54</v>
          </cell>
          <cell r="AK216">
            <v>27.539755490040257</v>
          </cell>
        </row>
        <row r="217">
          <cell r="A217" t="str">
            <v>L027</v>
          </cell>
          <cell r="B217" t="str">
            <v>MBO + LI</v>
          </cell>
          <cell r="C217" t="str">
            <v>PEOMMPI0200LVTQ2SR</v>
          </cell>
          <cell r="D217" t="str">
            <v>SANTA ROSA Y MALACAS</v>
          </cell>
          <cell r="E217" t="str">
            <v xml:space="preserve"> LIMP IND TANQ RESERV Y AGUA SCI 2000 M3</v>
          </cell>
          <cell r="F217" t="str">
            <v>LIMPIEZA INDUSTRIAL TANQUE ( DE RESERVA / AGUA CONTRAINCENDIO - 2000 M3)</v>
          </cell>
          <cell r="G217" t="str">
            <v>MMPI0200</v>
          </cell>
          <cell r="H217" t="str">
            <v>NUM</v>
          </cell>
          <cell r="I217">
            <v>2</v>
          </cell>
          <cell r="J217">
            <v>9</v>
          </cell>
          <cell r="K217">
            <v>7</v>
          </cell>
          <cell r="L217">
            <v>126</v>
          </cell>
          <cell r="M217" t="str">
            <v>SI</v>
          </cell>
          <cell r="N217">
            <v>0</v>
          </cell>
          <cell r="O217">
            <v>4</v>
          </cell>
          <cell r="P217">
            <v>4</v>
          </cell>
          <cell r="Q217">
            <v>0</v>
          </cell>
          <cell r="R217">
            <v>12</v>
          </cell>
          <cell r="S217">
            <v>12</v>
          </cell>
          <cell r="T217"/>
          <cell r="U217">
            <v>3178.0423373200147</v>
          </cell>
          <cell r="V217">
            <v>3178.0423373200147</v>
          </cell>
          <cell r="W217">
            <v>0</v>
          </cell>
          <cell r="X217">
            <v>38136.50804784018</v>
          </cell>
          <cell r="Y217">
            <v>38136.50804784018</v>
          </cell>
          <cell r="Z217">
            <v>38136.50804784018</v>
          </cell>
          <cell r="AA217">
            <v>3178.0423373200147</v>
          </cell>
          <cell r="AB217">
            <v>15.04666587574005</v>
          </cell>
          <cell r="AC217">
            <v>126</v>
          </cell>
          <cell r="AD217">
            <v>337.38330427868397</v>
          </cell>
          <cell r="AE217">
            <v>542.80452539205874</v>
          </cell>
          <cell r="AF217">
            <v>166.56406380083934</v>
          </cell>
          <cell r="AG217">
            <v>235.4105435051863</v>
          </cell>
          <cell r="AH217" t="str">
            <v>Limpieza</v>
          </cell>
          <cell r="AI217">
            <v>3178.0423373200147</v>
          </cell>
          <cell r="AJ217">
            <v>126</v>
          </cell>
          <cell r="AK217">
            <v>25.222558232698528</v>
          </cell>
        </row>
        <row r="218">
          <cell r="A218" t="str">
            <v>L014</v>
          </cell>
          <cell r="B218" t="str">
            <v>MBO + LI</v>
          </cell>
          <cell r="C218" t="str">
            <v>PEOMMPI020LV16MCV2</v>
          </cell>
          <cell r="D218" t="str">
            <v>VENTANILLA Y MALACAS</v>
          </cell>
          <cell r="E218" t="str">
            <v xml:space="preserve"> LIMP IND SEMESTRAL CERCO PERIMETRICO</v>
          </cell>
          <cell r="F218" t="str">
            <v>LIMPIEZA INDUSTRIAL SEMESTRAL  CERCO PERIMETRICO</v>
          </cell>
          <cell r="G218" t="str">
            <v>MMPI020L</v>
          </cell>
          <cell r="H218" t="str">
            <v>NUM</v>
          </cell>
          <cell r="I218">
            <v>1</v>
          </cell>
          <cell r="J218">
            <v>9</v>
          </cell>
          <cell r="K218">
            <v>4</v>
          </cell>
          <cell r="L218">
            <v>36</v>
          </cell>
          <cell r="M218" t="str">
            <v>NO</v>
          </cell>
          <cell r="N218">
            <v>2</v>
          </cell>
          <cell r="O218">
            <v>0</v>
          </cell>
          <cell r="P218">
            <v>2</v>
          </cell>
          <cell r="Q218">
            <v>6</v>
          </cell>
          <cell r="R218">
            <v>0</v>
          </cell>
          <cell r="S218">
            <v>6</v>
          </cell>
          <cell r="T218">
            <v>991.43119764144956</v>
          </cell>
          <cell r="U218"/>
          <cell r="V218">
            <v>991.43119764144956</v>
          </cell>
          <cell r="W218">
            <v>5948.5871858486971</v>
          </cell>
          <cell r="X218">
            <v>0</v>
          </cell>
          <cell r="Y218">
            <v>5948.5871858486971</v>
          </cell>
          <cell r="Z218">
            <v>5948.5871858486971</v>
          </cell>
          <cell r="AA218">
            <v>991.43119764144956</v>
          </cell>
          <cell r="AB218">
            <v>15.04666587574005</v>
          </cell>
          <cell r="AC218">
            <v>36</v>
          </cell>
          <cell r="AD218">
            <v>124.32607730874979</v>
          </cell>
          <cell r="AE218">
            <v>200.02399802122056</v>
          </cell>
          <cell r="AF218">
            <v>51.961802811396723</v>
          </cell>
          <cell r="AG218">
            <v>73.439347973440704</v>
          </cell>
          <cell r="AH218" t="str">
            <v>Limpieza</v>
          </cell>
          <cell r="AI218">
            <v>991.43119764144956</v>
          </cell>
          <cell r="AJ218">
            <v>36</v>
          </cell>
          <cell r="AK218">
            <v>27.539755490040264</v>
          </cell>
        </row>
        <row r="219">
          <cell r="A219" t="str">
            <v>L012</v>
          </cell>
          <cell r="B219" t="str">
            <v>MBO + LI</v>
          </cell>
          <cell r="C219" t="str">
            <v>PEOMMPI0200LVTBV</v>
          </cell>
          <cell r="D219" t="str">
            <v>VENTANILLA</v>
          </cell>
          <cell r="E219" t="str">
            <v xml:space="preserve"> LIMP IND  TUB BAJAS HRSGs Y COMPART TV</v>
          </cell>
          <cell r="F219" t="str">
            <v>LIMPIEZA INDUSTRIAL QUINCENAL: EXTERIOR TUBERIAS BAJAS HRSGs, INTERIOR Y EXTERIOR COMPARTIMIENTO TV, PARTE BAJAS TV</v>
          </cell>
          <cell r="G219" t="str">
            <v>MMPI0200</v>
          </cell>
          <cell r="H219" t="str">
            <v>NUM</v>
          </cell>
          <cell r="I219">
            <v>1</v>
          </cell>
          <cell r="J219">
            <v>10</v>
          </cell>
          <cell r="K219">
            <v>4</v>
          </cell>
          <cell r="L219">
            <v>40</v>
          </cell>
          <cell r="M219" t="str">
            <v>NO</v>
          </cell>
          <cell r="N219">
            <v>24</v>
          </cell>
          <cell r="O219">
            <v>0</v>
          </cell>
          <cell r="P219">
            <v>0</v>
          </cell>
          <cell r="Q219">
            <v>72</v>
          </cell>
          <cell r="R219">
            <v>0</v>
          </cell>
          <cell r="S219">
            <v>0</v>
          </cell>
          <cell r="T219">
            <v>1143.4834781221591</v>
          </cell>
          <cell r="U219"/>
          <cell r="V219">
            <v>0</v>
          </cell>
          <cell r="W219">
            <v>82330.810424795462</v>
          </cell>
          <cell r="X219">
            <v>0</v>
          </cell>
          <cell r="Y219">
            <v>82330.810424795462</v>
          </cell>
          <cell r="Z219">
            <v>0</v>
          </cell>
          <cell r="AA219">
            <v>1143.4834781221591</v>
          </cell>
          <cell r="AB219">
            <v>15.04666587574005</v>
          </cell>
          <cell r="AC219">
            <v>40</v>
          </cell>
          <cell r="AD219">
            <v>152.16701975312296</v>
          </cell>
          <cell r="AE219">
            <v>244.81634357695287</v>
          </cell>
          <cell r="AF219">
            <v>59.930999901580662</v>
          </cell>
          <cell r="AG219">
            <v>84.702479860900681</v>
          </cell>
          <cell r="AH219" t="str">
            <v>Limpieza</v>
          </cell>
          <cell r="AI219">
            <v>1143.4834781221591</v>
          </cell>
          <cell r="AJ219">
            <v>40</v>
          </cell>
          <cell r="AK219">
            <v>28.587086953053976</v>
          </cell>
        </row>
        <row r="220">
          <cell r="A220" t="str">
            <v>L038</v>
          </cell>
          <cell r="B220" t="str">
            <v>MBO + LI</v>
          </cell>
          <cell r="C220" t="str">
            <v>PEOMMPI0200LVTQM6</v>
          </cell>
          <cell r="D220" t="str">
            <v>MALACAS</v>
          </cell>
          <cell r="E220" t="str">
            <v>LIMP IND POZAS DE AGUA ACEITOSA.</v>
          </cell>
          <cell r="F220" t="str">
            <v>LIMPIEZA INDUSTRIAL POZAS DE AGUA ACEITOSA.</v>
          </cell>
          <cell r="G220" t="str">
            <v>MMPI0200</v>
          </cell>
          <cell r="H220" t="str">
            <v>NUM</v>
          </cell>
          <cell r="I220">
            <v>2</v>
          </cell>
          <cell r="J220">
            <v>9</v>
          </cell>
          <cell r="K220">
            <v>4</v>
          </cell>
          <cell r="L220">
            <v>72</v>
          </cell>
          <cell r="M220" t="str">
            <v>SI</v>
          </cell>
          <cell r="N220">
            <v>0</v>
          </cell>
          <cell r="O220">
            <v>0</v>
          </cell>
          <cell r="P220">
            <v>14</v>
          </cell>
          <cell r="Q220">
            <v>0</v>
          </cell>
          <cell r="R220">
            <v>0</v>
          </cell>
          <cell r="S220">
            <v>42</v>
          </cell>
          <cell r="T220"/>
          <cell r="U220"/>
          <cell r="V220">
            <v>2717.1056445623126</v>
          </cell>
          <cell r="W220">
            <v>0</v>
          </cell>
          <cell r="X220">
            <v>0</v>
          </cell>
          <cell r="Y220">
            <v>0</v>
          </cell>
          <cell r="Z220">
            <v>114118.43707161713</v>
          </cell>
          <cell r="AA220">
            <v>2717.1056445623126</v>
          </cell>
          <cell r="AB220">
            <v>15.04666587574005</v>
          </cell>
          <cell r="AC220">
            <v>72</v>
          </cell>
          <cell r="AD220">
            <v>513.1240802367804</v>
          </cell>
          <cell r="AE220">
            <v>776.94858027589726</v>
          </cell>
          <cell r="AF220">
            <v>142.40595621395769</v>
          </cell>
          <cell r="AG220">
            <v>201.26708478239354</v>
          </cell>
          <cell r="AH220" t="str">
            <v>Limpieza</v>
          </cell>
          <cell r="AI220">
            <v>2717.1056445623126</v>
          </cell>
          <cell r="AJ220">
            <v>72</v>
          </cell>
          <cell r="AK220">
            <v>37.737578396698787</v>
          </cell>
        </row>
        <row r="221">
          <cell r="A221" t="str">
            <v>L045</v>
          </cell>
          <cell r="B221" t="str">
            <v>MBO + LI</v>
          </cell>
          <cell r="C221" t="str">
            <v>PEOMMPI0200LV1MPV5</v>
          </cell>
          <cell r="D221" t="str">
            <v>VENTANILLA Y MALACAS</v>
          </cell>
          <cell r="E221" t="str">
            <v>LIMPIEZA INDUSTRIAL DE LA PLANTA PTARD</v>
          </cell>
          <cell r="F221" t="str">
            <v>LIMPIEZA INDUSTRIAL MENSUAL DE LA PLANTA PTARD</v>
          </cell>
          <cell r="G221" t="str">
            <v>MMPI0200</v>
          </cell>
          <cell r="H221" t="str">
            <v>NUM</v>
          </cell>
          <cell r="I221">
            <v>1</v>
          </cell>
          <cell r="J221">
            <v>6</v>
          </cell>
          <cell r="K221">
            <v>4</v>
          </cell>
          <cell r="L221">
            <v>24</v>
          </cell>
          <cell r="M221" t="str">
            <v>NO</v>
          </cell>
          <cell r="N221">
            <v>12</v>
          </cell>
          <cell r="O221">
            <v>0</v>
          </cell>
          <cell r="P221">
            <v>1</v>
          </cell>
          <cell r="Q221">
            <v>36</v>
          </cell>
          <cell r="R221">
            <v>0</v>
          </cell>
          <cell r="S221">
            <v>3</v>
          </cell>
          <cell r="T221">
            <v>611.71600000000035</v>
          </cell>
          <cell r="U221"/>
          <cell r="V221">
            <v>611.71600000000035</v>
          </cell>
          <cell r="W221">
            <v>22021.776000000013</v>
          </cell>
          <cell r="X221">
            <v>0</v>
          </cell>
          <cell r="Y221">
            <v>22021.776000000013</v>
          </cell>
          <cell r="Z221">
            <v>1835.148000000001</v>
          </cell>
          <cell r="AA221">
            <v>611.71600000000035</v>
          </cell>
          <cell r="AB221">
            <v>15.04666587574005</v>
          </cell>
          <cell r="AC221">
            <v>20</v>
          </cell>
          <cell r="AD221">
            <v>89.467914286121029</v>
          </cell>
          <cell r="AE221">
            <v>143.94188490068561</v>
          </cell>
          <cell r="AF221">
            <v>32.060587002096455</v>
          </cell>
          <cell r="AG221">
            <v>45.312296296296324</v>
          </cell>
          <cell r="AH221" t="e">
            <v>#N/A</v>
          </cell>
          <cell r="AI221">
            <v>611.71600000000035</v>
          </cell>
          <cell r="AJ221">
            <v>24</v>
          </cell>
          <cell r="AK221">
            <v>25.488166666666682</v>
          </cell>
        </row>
        <row r="222">
          <cell r="A222" t="str">
            <v>L047</v>
          </cell>
          <cell r="B222" t="str">
            <v>MBO + LI</v>
          </cell>
          <cell r="C222" t="str">
            <v>PEOMMPI0200LV1MCV7</v>
          </cell>
          <cell r="D222" t="str">
            <v>VENTANILLA Y MALACAS</v>
          </cell>
          <cell r="E222" t="str">
            <v>LIMPIEZA INDUSTRIAL DE EXT CENTRIFUGAS</v>
          </cell>
          <cell r="F222" t="str">
            <v>LIMPIEZA INDUSTRIAL MENSUAL DE EXTERIORES CENTRIFUGAS, SLUDGE Y ESCALERAS ACCESO</v>
          </cell>
          <cell r="G222" t="str">
            <v>MMPI0200</v>
          </cell>
          <cell r="H222" t="str">
            <v>NUM</v>
          </cell>
          <cell r="I222">
            <v>2</v>
          </cell>
          <cell r="J222">
            <v>9</v>
          </cell>
          <cell r="K222">
            <v>4</v>
          </cell>
          <cell r="L222">
            <v>72</v>
          </cell>
          <cell r="M222" t="str">
            <v>NO</v>
          </cell>
          <cell r="N222">
            <v>12</v>
          </cell>
          <cell r="O222">
            <v>0</v>
          </cell>
          <cell r="P222">
            <v>12</v>
          </cell>
          <cell r="Q222">
            <v>36</v>
          </cell>
          <cell r="R222">
            <v>0</v>
          </cell>
          <cell r="S222">
            <v>36</v>
          </cell>
          <cell r="T222">
            <v>2202.1776</v>
          </cell>
          <cell r="U222"/>
          <cell r="V222">
            <v>2202.1776</v>
          </cell>
          <cell r="W222">
            <v>79278.393599999996</v>
          </cell>
          <cell r="X222">
            <v>0</v>
          </cell>
          <cell r="Y222">
            <v>79278.393599999996</v>
          </cell>
          <cell r="Z222">
            <v>79278.393599999996</v>
          </cell>
          <cell r="AA222">
            <v>2202.1776</v>
          </cell>
          <cell r="AB222">
            <v>15.04666587574005</v>
          </cell>
          <cell r="AC222">
            <v>72</v>
          </cell>
          <cell r="AD222">
            <v>322.08449143003531</v>
          </cell>
          <cell r="AE222">
            <v>518.19078564246763</v>
          </cell>
          <cell r="AF222">
            <v>115.41811320754718</v>
          </cell>
          <cell r="AG222">
            <v>163.12426666666667</v>
          </cell>
          <cell r="AH222" t="e">
            <v>#N/A</v>
          </cell>
          <cell r="AI222">
            <v>2202.1776</v>
          </cell>
          <cell r="AJ222">
            <v>72</v>
          </cell>
          <cell r="AK222">
            <v>30.585799999999999</v>
          </cell>
        </row>
        <row r="223">
          <cell r="A223" t="str">
            <v>L046</v>
          </cell>
          <cell r="B223" t="str">
            <v>MBO + LI</v>
          </cell>
          <cell r="C223" t="str">
            <v>PEOMMPI0200LV1MBV6</v>
          </cell>
          <cell r="D223" t="str">
            <v>VENTANILLA</v>
          </cell>
          <cell r="E223" t="str">
            <v>LIMPIEZA INDUSTRIAL DE ACCESOS AL BESS</v>
          </cell>
          <cell r="F223" t="str">
            <v>LIMPIEZA INDUSTRIAL MENSUAL DE ACCESOS Y PARTE EXTERNA DE CONTENEDORES DEL BESS</v>
          </cell>
          <cell r="G223" t="str">
            <v>MMPI0200</v>
          </cell>
          <cell r="H223" t="str">
            <v>NUM</v>
          </cell>
          <cell r="I223">
            <v>1</v>
          </cell>
          <cell r="J223">
            <v>9</v>
          </cell>
          <cell r="K223">
            <v>4</v>
          </cell>
          <cell r="L223">
            <v>36</v>
          </cell>
          <cell r="M223" t="str">
            <v>NO</v>
          </cell>
          <cell r="N223">
            <v>12</v>
          </cell>
          <cell r="O223">
            <v>0</v>
          </cell>
          <cell r="P223">
            <v>0</v>
          </cell>
          <cell r="Q223">
            <v>36</v>
          </cell>
          <cell r="R223">
            <v>0</v>
          </cell>
          <cell r="S223">
            <v>0</v>
          </cell>
          <cell r="T223">
            <v>978.74559999999997</v>
          </cell>
          <cell r="U223"/>
          <cell r="V223">
            <v>0</v>
          </cell>
          <cell r="W223">
            <v>35234.8416</v>
          </cell>
          <cell r="X223">
            <v>0</v>
          </cell>
          <cell r="Y223">
            <v>35234.8416</v>
          </cell>
          <cell r="Z223">
            <v>0</v>
          </cell>
          <cell r="AA223">
            <v>978.74559999999997</v>
          </cell>
          <cell r="AB223">
            <v>15.04666587574005</v>
          </cell>
          <cell r="AC223">
            <v>32</v>
          </cell>
          <cell r="AD223">
            <v>143.1486628577934</v>
          </cell>
          <cell r="AE223">
            <v>230.30701584109659</v>
          </cell>
          <cell r="AF223">
            <v>51.296939203354292</v>
          </cell>
          <cell r="AG223">
            <v>72.499674074074079</v>
          </cell>
          <cell r="AH223" t="e">
            <v>#N/A</v>
          </cell>
          <cell r="AI223">
            <v>978.74559999999997</v>
          </cell>
          <cell r="AJ223">
            <v>36</v>
          </cell>
          <cell r="AK223">
            <v>27.187377777777776</v>
          </cell>
        </row>
        <row r="224">
          <cell r="A224" t="str">
            <v>L013</v>
          </cell>
          <cell r="B224" t="str">
            <v>MBO + LI</v>
          </cell>
          <cell r="C224" t="str">
            <v>PEOMMPI020LV16MCV1</v>
          </cell>
          <cell r="D224" t="str">
            <v>VENTANILLA</v>
          </cell>
          <cell r="E224" t="str">
            <v xml:space="preserve"> LIMPIEZA INDUSTRIAL MENSUAL COMUNES</v>
          </cell>
          <cell r="F224" t="str">
            <v>LIMPIEZA INDUSTRIAL MENSUAL COMUNES: PISCINA DE ECUALIZACION, INTERIOR Y EXTERIOR PECERA, CASETA ALPACAS, TECHO VESTUARIO INSTRUMENTACION</v>
          </cell>
          <cell r="G224" t="str">
            <v>MMPI020L</v>
          </cell>
          <cell r="H224" t="str">
            <v>NUM</v>
          </cell>
          <cell r="I224">
            <v>1</v>
          </cell>
          <cell r="J224">
            <v>9</v>
          </cell>
          <cell r="K224">
            <v>3</v>
          </cell>
          <cell r="L224">
            <v>27</v>
          </cell>
          <cell r="M224" t="str">
            <v>NO</v>
          </cell>
          <cell r="N224">
            <v>12</v>
          </cell>
          <cell r="O224">
            <v>0</v>
          </cell>
          <cell r="P224">
            <v>0</v>
          </cell>
          <cell r="Q224">
            <v>36</v>
          </cell>
          <cell r="R224">
            <v>0</v>
          </cell>
          <cell r="S224">
            <v>0</v>
          </cell>
          <cell r="T224">
            <v>771.85134773245727</v>
          </cell>
          <cell r="U224"/>
          <cell r="V224">
            <v>0</v>
          </cell>
          <cell r="W224">
            <v>27786.648518368464</v>
          </cell>
          <cell r="X224">
            <v>0</v>
          </cell>
          <cell r="Y224">
            <v>27786.648518368464</v>
          </cell>
          <cell r="Z224">
            <v>0</v>
          </cell>
          <cell r="AA224">
            <v>771.85134773245727</v>
          </cell>
          <cell r="AB224">
            <v>15.046665875740052</v>
          </cell>
          <cell r="AC224">
            <v>27</v>
          </cell>
          <cell r="AD224">
            <v>102.71273833335795</v>
          </cell>
          <cell r="AE224">
            <v>165.2510319144431</v>
          </cell>
          <cell r="AF224">
            <v>40.453424933566943</v>
          </cell>
          <cell r="AG224">
            <v>57.174173906107946</v>
          </cell>
          <cell r="AH224" t="str">
            <v>Limpieza</v>
          </cell>
          <cell r="AI224">
            <v>771.85134773245727</v>
          </cell>
          <cell r="AJ224">
            <v>27</v>
          </cell>
          <cell r="AK224">
            <v>28.587086953053973</v>
          </cell>
        </row>
        <row r="225">
          <cell r="A225" t="str">
            <v>L009</v>
          </cell>
          <cell r="B225" t="str">
            <v>MBO + LI</v>
          </cell>
          <cell r="C225" t="str">
            <v>PEOMMPI0200LVTQV3</v>
          </cell>
          <cell r="D225" t="str">
            <v>VENTANILLA Y MALACAS</v>
          </cell>
          <cell r="E225" t="str">
            <v xml:space="preserve"> LIMPIEZA INDUSTRIAL TANQUES 750M3</v>
          </cell>
          <cell r="F225" t="str">
            <v>LIMPIEZA INDUSTRIAL EXTERIOR TANQUES 750M3: TANQUES DE AGUA TQ1 Y TQ2 PARA SCI.</v>
          </cell>
          <cell r="G225" t="str">
            <v>MMPI0200</v>
          </cell>
          <cell r="H225" t="str">
            <v>NUM</v>
          </cell>
          <cell r="I225">
            <v>1</v>
          </cell>
          <cell r="J225">
            <v>9</v>
          </cell>
          <cell r="K225">
            <v>5</v>
          </cell>
          <cell r="L225">
            <v>45</v>
          </cell>
          <cell r="M225" t="str">
            <v>SI</v>
          </cell>
          <cell r="N225">
            <v>4</v>
          </cell>
          <cell r="O225">
            <v>0</v>
          </cell>
          <cell r="P225">
            <v>1</v>
          </cell>
          <cell r="Q225">
            <v>12</v>
          </cell>
          <cell r="R225">
            <v>0</v>
          </cell>
          <cell r="S225">
            <v>3</v>
          </cell>
          <cell r="T225">
            <v>1226.6335318225572</v>
          </cell>
          <cell r="U225"/>
          <cell r="V225">
            <v>1226.6335318225572</v>
          </cell>
          <cell r="W225">
            <v>14719.602381870685</v>
          </cell>
          <cell r="X225">
            <v>0</v>
          </cell>
          <cell r="Y225">
            <v>14719.602381870685</v>
          </cell>
          <cell r="Z225">
            <v>3679.9005954676713</v>
          </cell>
          <cell r="AA225">
            <v>1226.6335318225572</v>
          </cell>
          <cell r="AB225">
            <v>15.04666587574005</v>
          </cell>
          <cell r="AC225">
            <v>45</v>
          </cell>
          <cell r="AD225">
            <v>151.17022337021803</v>
          </cell>
          <cell r="AE225">
            <v>243.21263177297962</v>
          </cell>
          <cell r="AF225">
            <v>64.288969173089995</v>
          </cell>
          <cell r="AG225">
            <v>90.861743097967192</v>
          </cell>
          <cell r="AH225" t="str">
            <v>Limpieza</v>
          </cell>
          <cell r="AI225">
            <v>1226.6335318225572</v>
          </cell>
          <cell r="AJ225">
            <v>45</v>
          </cell>
          <cell r="AK225">
            <v>27.258522929390161</v>
          </cell>
        </row>
        <row r="226">
          <cell r="A226" t="str">
            <v>L008</v>
          </cell>
          <cell r="B226" t="str">
            <v>MBO + LI</v>
          </cell>
          <cell r="C226" t="str">
            <v>PEOMMPI0200LVTQV2</v>
          </cell>
          <cell r="D226" t="str">
            <v>VENTANILLA</v>
          </cell>
          <cell r="E226" t="str">
            <v xml:space="preserve"> LIMPIEZA INDUSTRIAL TANQUES 500M3</v>
          </cell>
          <cell r="F226" t="str">
            <v>LIMPIEZA INDUSTRIAL EXTERIOR TANQUES 500M3: TANQUE DE TK3 (PETROLEO) SIN USO.</v>
          </cell>
          <cell r="G226" t="str">
            <v>MMPI0200</v>
          </cell>
          <cell r="H226" t="str">
            <v>NUM</v>
          </cell>
          <cell r="I226">
            <v>2</v>
          </cell>
          <cell r="J226">
            <v>9</v>
          </cell>
          <cell r="K226">
            <v>5</v>
          </cell>
          <cell r="L226">
            <v>90</v>
          </cell>
          <cell r="M226" t="str">
            <v>SI</v>
          </cell>
          <cell r="N226">
            <v>2</v>
          </cell>
          <cell r="O226">
            <v>0</v>
          </cell>
          <cell r="P226">
            <v>0</v>
          </cell>
          <cell r="Q226">
            <v>6</v>
          </cell>
          <cell r="R226">
            <v>0</v>
          </cell>
          <cell r="S226">
            <v>0</v>
          </cell>
          <cell r="T226">
            <v>2797.2387879547928</v>
          </cell>
          <cell r="U226"/>
          <cell r="V226">
            <v>0</v>
          </cell>
          <cell r="W226">
            <v>16783.432727728756</v>
          </cell>
          <cell r="X226">
            <v>0</v>
          </cell>
          <cell r="Y226">
            <v>16783.432727728756</v>
          </cell>
          <cell r="Z226">
            <v>0</v>
          </cell>
          <cell r="AA226">
            <v>2797.2387879547928</v>
          </cell>
          <cell r="AB226">
            <v>15.046665875740052</v>
          </cell>
          <cell r="AC226">
            <v>90</v>
          </cell>
          <cell r="AD226">
            <v>417.5109728609512</v>
          </cell>
          <cell r="AE226">
            <v>671.71920659881846</v>
          </cell>
          <cell r="AF226">
            <v>146.60580649658243</v>
          </cell>
          <cell r="AG226">
            <v>207.20287318183651</v>
          </cell>
          <cell r="AH226" t="str">
            <v>Limpieza</v>
          </cell>
          <cell r="AI226">
            <v>2797.2387879547928</v>
          </cell>
          <cell r="AJ226">
            <v>90</v>
          </cell>
          <cell r="AK226">
            <v>31.080430977275476</v>
          </cell>
        </row>
        <row r="227">
          <cell r="A227" t="str">
            <v>L010</v>
          </cell>
          <cell r="B227" t="str">
            <v>MBO + LI</v>
          </cell>
          <cell r="C227" t="str">
            <v>PEOMMPI0200LVTQV4</v>
          </cell>
          <cell r="D227" t="str">
            <v>VENTANILLA</v>
          </cell>
          <cell r="E227" t="str">
            <v xml:space="preserve"> LIMPIEZA INDUSTRIAL TANQUES 1250M3</v>
          </cell>
          <cell r="F227" t="str">
            <v>LIMPIEZA INDUSTRIAL EXTERIOR TANQUES 1250M3: TANQUE DE AGUA DESMINERALIZADA.</v>
          </cell>
          <cell r="G227" t="str">
            <v>MMPI0200</v>
          </cell>
          <cell r="H227" t="str">
            <v>NUM</v>
          </cell>
          <cell r="I227">
            <v>1</v>
          </cell>
          <cell r="J227">
            <v>9</v>
          </cell>
          <cell r="K227">
            <v>3</v>
          </cell>
          <cell r="L227">
            <v>27</v>
          </cell>
          <cell r="M227" t="str">
            <v>SI</v>
          </cell>
          <cell r="N227">
            <v>2</v>
          </cell>
          <cell r="O227">
            <v>0</v>
          </cell>
          <cell r="P227">
            <v>0</v>
          </cell>
          <cell r="Q227">
            <v>6</v>
          </cell>
          <cell r="R227">
            <v>0</v>
          </cell>
          <cell r="S227">
            <v>0</v>
          </cell>
          <cell r="T227">
            <v>835.68938778028792</v>
          </cell>
          <cell r="U227"/>
          <cell r="V227">
            <v>0</v>
          </cell>
          <cell r="W227">
            <v>5014.136326681728</v>
          </cell>
          <cell r="X227">
            <v>0</v>
          </cell>
          <cell r="Y227">
            <v>5014.136326681728</v>
          </cell>
          <cell r="Z227">
            <v>0</v>
          </cell>
          <cell r="AA227">
            <v>835.68938778028792</v>
          </cell>
          <cell r="AB227">
            <v>17.713278578334947</v>
          </cell>
          <cell r="AC227">
            <v>27</v>
          </cell>
          <cell r="AD227">
            <v>96.489706606143798</v>
          </cell>
          <cell r="AE227">
            <v>155.23900778535341</v>
          </cell>
          <cell r="AF227">
            <v>43.799234160392444</v>
          </cell>
          <cell r="AG227">
            <v>61.90291761335466</v>
          </cell>
          <cell r="AH227" t="str">
            <v>Limpieza</v>
          </cell>
          <cell r="AI227">
            <v>835.68938778028792</v>
          </cell>
          <cell r="AJ227">
            <v>27</v>
          </cell>
          <cell r="AK227">
            <v>30.95145880667733</v>
          </cell>
        </row>
        <row r="228">
          <cell r="A228" t="str">
            <v>L044</v>
          </cell>
          <cell r="B228" t="str">
            <v>MBO + LI</v>
          </cell>
          <cell r="C228" t="str">
            <v>PEOMMPI0200LVENCM3</v>
          </cell>
          <cell r="D228" t="str">
            <v>MALACAS</v>
          </cell>
          <cell r="E228" t="str">
            <v>LIMP EXT ENCERR ACÚSTICO  Y ESTRUC TG6</v>
          </cell>
          <cell r="F228" t="str">
            <v>LIMPIEZA INDUSTRIAL EXTERIOR ENCERRAMIENTO ACÚSTICO  Y ESTRUCTURAS EXTERIORES TG6</v>
          </cell>
          <cell r="G228" t="str">
            <v>MMPI0200</v>
          </cell>
          <cell r="H228" t="str">
            <v>NUM</v>
          </cell>
          <cell r="I228">
            <v>2</v>
          </cell>
          <cell r="J228">
            <v>9</v>
          </cell>
          <cell r="K228">
            <v>5</v>
          </cell>
          <cell r="L228">
            <v>90</v>
          </cell>
          <cell r="M228" t="str">
            <v>SI</v>
          </cell>
          <cell r="N228">
            <v>0</v>
          </cell>
          <cell r="O228">
            <v>0</v>
          </cell>
          <cell r="P228">
            <v>12</v>
          </cell>
          <cell r="Q228">
            <v>0</v>
          </cell>
          <cell r="R228">
            <v>0</v>
          </cell>
          <cell r="S228">
            <v>36</v>
          </cell>
          <cell r="T228"/>
          <cell r="U228"/>
          <cell r="V228">
            <v>3396.3820557028903</v>
          </cell>
          <cell r="W228">
            <v>0</v>
          </cell>
          <cell r="X228">
            <v>0</v>
          </cell>
          <cell r="Y228">
            <v>0</v>
          </cell>
          <cell r="Z228">
            <v>122269.75400530404</v>
          </cell>
          <cell r="AA228">
            <v>3396.3820557028903</v>
          </cell>
          <cell r="AB228">
            <v>15.046665875740048</v>
          </cell>
          <cell r="AC228">
            <v>90</v>
          </cell>
          <cell r="AD228">
            <v>641.40510029597544</v>
          </cell>
          <cell r="AE228">
            <v>971.18572534487157</v>
          </cell>
          <cell r="AF228">
            <v>178.00744526744708</v>
          </cell>
          <cell r="AG228">
            <v>251.58385597799187</v>
          </cell>
          <cell r="AH228" t="str">
            <v>Limpieza</v>
          </cell>
          <cell r="AI228">
            <v>3396.3820557028903</v>
          </cell>
          <cell r="AJ228">
            <v>90</v>
          </cell>
          <cell r="AK228">
            <v>37.73757839669878</v>
          </cell>
        </row>
        <row r="229">
          <cell r="A229" t="str">
            <v>L043</v>
          </cell>
          <cell r="B229" t="str">
            <v>MBO + LI</v>
          </cell>
          <cell r="C229" t="str">
            <v>PEOMMPI0200LVENCM2</v>
          </cell>
          <cell r="D229" t="str">
            <v>MALACAS</v>
          </cell>
          <cell r="E229" t="str">
            <v>LIMP EXT ENCERR ACÚSTICO  Y ESTRUC TG5</v>
          </cell>
          <cell r="F229" t="str">
            <v>LIMPIEZA INDUSTRIAL EXTERIOR ENCERRAMIENTO ACÚSTICO  Y ESTRUCTURAS EXTERIORES TG5</v>
          </cell>
          <cell r="G229" t="str">
            <v>MMPI0200</v>
          </cell>
          <cell r="H229" t="str">
            <v>NUM</v>
          </cell>
          <cell r="I229">
            <v>2</v>
          </cell>
          <cell r="J229">
            <v>9</v>
          </cell>
          <cell r="K229">
            <v>5</v>
          </cell>
          <cell r="L229">
            <v>90</v>
          </cell>
          <cell r="M229" t="str">
            <v>SI</v>
          </cell>
          <cell r="N229">
            <v>0</v>
          </cell>
          <cell r="O229">
            <v>0</v>
          </cell>
          <cell r="P229">
            <v>12</v>
          </cell>
          <cell r="Q229">
            <v>0</v>
          </cell>
          <cell r="R229">
            <v>0</v>
          </cell>
          <cell r="S229">
            <v>36</v>
          </cell>
          <cell r="T229"/>
          <cell r="U229"/>
          <cell r="V229">
            <v>3396.3820557028903</v>
          </cell>
          <cell r="W229">
            <v>0</v>
          </cell>
          <cell r="X229">
            <v>0</v>
          </cell>
          <cell r="Y229">
            <v>0</v>
          </cell>
          <cell r="Z229">
            <v>122269.75400530404</v>
          </cell>
          <cell r="AA229">
            <v>3396.3820557028903</v>
          </cell>
          <cell r="AB229">
            <v>15.046665875740048</v>
          </cell>
          <cell r="AC229">
            <v>90</v>
          </cell>
          <cell r="AD229">
            <v>641.40510029597544</v>
          </cell>
          <cell r="AE229">
            <v>971.18572534487157</v>
          </cell>
          <cell r="AF229">
            <v>178.00744526744708</v>
          </cell>
          <cell r="AG229">
            <v>251.58385597799187</v>
          </cell>
          <cell r="AH229" t="str">
            <v>Limpieza</v>
          </cell>
          <cell r="AI229">
            <v>3396.3820557028903</v>
          </cell>
          <cell r="AJ229">
            <v>90</v>
          </cell>
          <cell r="AK229">
            <v>37.73757839669878</v>
          </cell>
        </row>
        <row r="230">
          <cell r="A230" t="str">
            <v>L042</v>
          </cell>
          <cell r="B230" t="str">
            <v>MBO + LI</v>
          </cell>
          <cell r="C230" t="str">
            <v>PEOMMPI0200LVENCM1</v>
          </cell>
          <cell r="D230" t="str">
            <v>MALACAS</v>
          </cell>
          <cell r="E230" t="str">
            <v>LIMP EXT ENCERR ACÚSTICO  Y ESTRUC TG4</v>
          </cell>
          <cell r="F230" t="str">
            <v>LIMPIEZA INDUSTRIAL EXTERIOR ENCERRAMIENTO ACÚSTICO  Y ESTRUCTURAS EXTERIORES TG4</v>
          </cell>
          <cell r="G230" t="str">
            <v>MMPI0200</v>
          </cell>
          <cell r="H230" t="str">
            <v>NUM</v>
          </cell>
          <cell r="I230">
            <v>2</v>
          </cell>
          <cell r="J230">
            <v>9</v>
          </cell>
          <cell r="K230">
            <v>5</v>
          </cell>
          <cell r="L230">
            <v>90</v>
          </cell>
          <cell r="M230" t="str">
            <v>SI</v>
          </cell>
          <cell r="N230">
            <v>0</v>
          </cell>
          <cell r="O230">
            <v>0</v>
          </cell>
          <cell r="P230">
            <v>12</v>
          </cell>
          <cell r="Q230">
            <v>0</v>
          </cell>
          <cell r="R230">
            <v>0</v>
          </cell>
          <cell r="S230">
            <v>36</v>
          </cell>
          <cell r="T230"/>
          <cell r="U230"/>
          <cell r="V230">
            <v>3396.3820557028903</v>
          </cell>
          <cell r="W230">
            <v>0</v>
          </cell>
          <cell r="X230">
            <v>0</v>
          </cell>
          <cell r="Y230">
            <v>0</v>
          </cell>
          <cell r="Z230">
            <v>122269.75400530404</v>
          </cell>
          <cell r="AA230">
            <v>3396.3820557028903</v>
          </cell>
          <cell r="AB230">
            <v>15.046665875740048</v>
          </cell>
          <cell r="AC230">
            <v>90</v>
          </cell>
          <cell r="AD230">
            <v>641.40510029597544</v>
          </cell>
          <cell r="AE230">
            <v>971.18572534487157</v>
          </cell>
          <cell r="AF230">
            <v>178.00744526744708</v>
          </cell>
          <cell r="AG230">
            <v>251.58385597799187</v>
          </cell>
          <cell r="AH230" t="str">
            <v>Limpieza</v>
          </cell>
          <cell r="AI230">
            <v>3396.3820557028903</v>
          </cell>
          <cell r="AJ230">
            <v>90</v>
          </cell>
          <cell r="AK230">
            <v>37.73757839669878</v>
          </cell>
        </row>
        <row r="231">
          <cell r="A231" t="str">
            <v>L007</v>
          </cell>
          <cell r="B231" t="str">
            <v>MBO + LI</v>
          </cell>
          <cell r="C231" t="str">
            <v>PEOMMPI0200LVTQV1</v>
          </cell>
          <cell r="D231" t="str">
            <v>VENTANILLA</v>
          </cell>
          <cell r="E231" t="str">
            <v xml:space="preserve"> LIMPIEZA INDUSTRIAL TANQUES 5000M3</v>
          </cell>
          <cell r="F231" t="str">
            <v>LIMPIEZA INDUSTRIAL EXTERIOR DE TANQUES 5000M3: TANQUES TK1 (AGUA), TK2 Y TK4 (PETROLEO).</v>
          </cell>
          <cell r="G231" t="str">
            <v>MMPI0200</v>
          </cell>
          <cell r="H231" t="str">
            <v>NUM</v>
          </cell>
          <cell r="I231">
            <v>4</v>
          </cell>
          <cell r="J231">
            <v>9</v>
          </cell>
          <cell r="K231">
            <v>5</v>
          </cell>
          <cell r="L231">
            <v>180</v>
          </cell>
          <cell r="M231" t="str">
            <v>SI</v>
          </cell>
          <cell r="N231">
            <v>6</v>
          </cell>
          <cell r="O231">
            <v>0</v>
          </cell>
          <cell r="P231">
            <v>0</v>
          </cell>
          <cell r="Q231">
            <v>18</v>
          </cell>
          <cell r="R231">
            <v>0</v>
          </cell>
          <cell r="S231">
            <v>0</v>
          </cell>
          <cell r="T231">
            <v>5594.4775759095855</v>
          </cell>
          <cell r="U231"/>
          <cell r="V231">
            <v>0</v>
          </cell>
          <cell r="W231">
            <v>100700.59636637254</v>
          </cell>
          <cell r="X231">
            <v>0</v>
          </cell>
          <cell r="Y231">
            <v>100700.59636637254</v>
          </cell>
          <cell r="Z231">
            <v>0</v>
          </cell>
          <cell r="AA231">
            <v>5594.4775759095855</v>
          </cell>
          <cell r="AB231">
            <v>15.046665875740052</v>
          </cell>
          <cell r="AC231">
            <v>180</v>
          </cell>
          <cell r="AD231">
            <v>835.02194572190228</v>
          </cell>
          <cell r="AE231">
            <v>1343.4384131976367</v>
          </cell>
          <cell r="AF231">
            <v>293.21161299316486</v>
          </cell>
          <cell r="AG231">
            <v>414.40574636367302</v>
          </cell>
          <cell r="AH231" t="str">
            <v>Limpieza</v>
          </cell>
          <cell r="AI231">
            <v>5594.4775759095855</v>
          </cell>
          <cell r="AJ231">
            <v>180</v>
          </cell>
          <cell r="AK231">
            <v>31.080430977275476</v>
          </cell>
        </row>
        <row r="232">
          <cell r="A232" t="str">
            <v>L040</v>
          </cell>
          <cell r="B232" t="str">
            <v>MBO + LI</v>
          </cell>
          <cell r="C232" t="str">
            <v>PEOMMPI0200LVEXTM2</v>
          </cell>
          <cell r="D232" t="str">
            <v>MALACAS</v>
          </cell>
          <cell r="E232" t="str">
            <v>LIMP IND ESTACIÓN DE REGULACIÓN DE GAS</v>
          </cell>
          <cell r="F232" t="str">
            <v>LIMPIEZA INDUSTRIAL ESTACIÓN DE REGULACIÓN DE GAS</v>
          </cell>
          <cell r="G232" t="str">
            <v>MMPI0200</v>
          </cell>
          <cell r="H232" t="str">
            <v>NUM</v>
          </cell>
          <cell r="I232">
            <v>1</v>
          </cell>
          <cell r="J232">
            <v>9</v>
          </cell>
          <cell r="K232">
            <v>2</v>
          </cell>
          <cell r="L232">
            <v>18</v>
          </cell>
          <cell r="M232" t="str">
            <v>NO</v>
          </cell>
          <cell r="N232">
            <v>0</v>
          </cell>
          <cell r="O232">
            <v>0</v>
          </cell>
          <cell r="P232">
            <v>24</v>
          </cell>
          <cell r="Q232">
            <v>0</v>
          </cell>
          <cell r="R232">
            <v>0</v>
          </cell>
          <cell r="S232">
            <v>72</v>
          </cell>
          <cell r="T232"/>
          <cell r="U232"/>
          <cell r="V232">
            <v>679.27641114057815</v>
          </cell>
          <cell r="W232">
            <v>0</v>
          </cell>
          <cell r="X232">
            <v>0</v>
          </cell>
          <cell r="Y232">
            <v>0</v>
          </cell>
          <cell r="Z232">
            <v>48907.901602121623</v>
          </cell>
          <cell r="AA232">
            <v>679.27641114057815</v>
          </cell>
          <cell r="AB232">
            <v>15.04666587574005</v>
          </cell>
          <cell r="AC232">
            <v>18</v>
          </cell>
          <cell r="AD232">
            <v>128.28102005919513</v>
          </cell>
          <cell r="AE232">
            <v>194.23714506897434</v>
          </cell>
          <cell r="AF232">
            <v>35.601489053489423</v>
          </cell>
          <cell r="AG232">
            <v>50.316771195598385</v>
          </cell>
          <cell r="AH232" t="str">
            <v>Limpieza</v>
          </cell>
          <cell r="AI232">
            <v>679.27641114057815</v>
          </cell>
          <cell r="AJ232">
            <v>18</v>
          </cell>
          <cell r="AK232">
            <v>37.737578396698787</v>
          </cell>
        </row>
        <row r="233">
          <cell r="A233" t="str">
            <v>L041</v>
          </cell>
          <cell r="B233" t="str">
            <v>MBO + LI</v>
          </cell>
          <cell r="C233" t="str">
            <v>PEOMMPI0200LVEXTM3</v>
          </cell>
          <cell r="D233" t="str">
            <v>MALACAS</v>
          </cell>
          <cell r="E233" t="str">
            <v>LIMP IND ESTACIÓN ENTREGA DE GAS PARIÑAS</v>
          </cell>
          <cell r="F233" t="str">
            <v>LIMPIEZA INDUSTRIAL ESTACIÓN DE ENTREGA DE GAS PARIÑAS</v>
          </cell>
          <cell r="G233" t="str">
            <v>MMPI0200</v>
          </cell>
          <cell r="H233" t="str">
            <v>NUM</v>
          </cell>
          <cell r="I233">
            <v>1</v>
          </cell>
          <cell r="J233">
            <v>9</v>
          </cell>
          <cell r="K233">
            <v>2</v>
          </cell>
          <cell r="L233">
            <v>18</v>
          </cell>
          <cell r="M233" t="str">
            <v>NO</v>
          </cell>
          <cell r="N233">
            <v>0</v>
          </cell>
          <cell r="O233">
            <v>0</v>
          </cell>
          <cell r="P233">
            <v>24</v>
          </cell>
          <cell r="Q233">
            <v>0</v>
          </cell>
          <cell r="R233">
            <v>0</v>
          </cell>
          <cell r="S233">
            <v>72</v>
          </cell>
          <cell r="T233"/>
          <cell r="U233"/>
          <cell r="V233">
            <v>679.27641114057815</v>
          </cell>
          <cell r="W233">
            <v>0</v>
          </cell>
          <cell r="X233">
            <v>0</v>
          </cell>
          <cell r="Y233">
            <v>0</v>
          </cell>
          <cell r="Z233">
            <v>48907.901602121623</v>
          </cell>
          <cell r="AA233">
            <v>679.27641114057815</v>
          </cell>
          <cell r="AB233">
            <v>15.04666587574005</v>
          </cell>
          <cell r="AC233">
            <v>18</v>
          </cell>
          <cell r="AD233">
            <v>128.28102005919513</v>
          </cell>
          <cell r="AE233">
            <v>194.23714506897434</v>
          </cell>
          <cell r="AF233">
            <v>35.601489053489423</v>
          </cell>
          <cell r="AG233">
            <v>50.316771195598385</v>
          </cell>
          <cell r="AH233" t="str">
            <v>Limpieza</v>
          </cell>
          <cell r="AI233">
            <v>679.27641114057815</v>
          </cell>
          <cell r="AJ233">
            <v>18</v>
          </cell>
          <cell r="AK233">
            <v>37.737578396698787</v>
          </cell>
        </row>
        <row r="234">
          <cell r="A234" t="str">
            <v>L069</v>
          </cell>
          <cell r="B234" t="str">
            <v>MBO + LI</v>
          </cell>
          <cell r="C234" t="str">
            <v>PEOMMPI02LIMERMS01</v>
          </cell>
          <cell r="D234" t="str">
            <v>SANTA ROSA</v>
          </cell>
          <cell r="E234" t="str">
            <v>LIMPIEZA MENSUAL INDUSTRIAL ERMS</v>
          </cell>
          <cell r="F234" t="str">
            <v>LIMPIEZA INDUSTRIAL ERMS (ESTACIÓN DE REGULACION Y MEDICION GAS NATURAL)</v>
          </cell>
          <cell r="G234" t="str">
            <v>MMPI0200</v>
          </cell>
          <cell r="H234" t="str">
            <v>NUM</v>
          </cell>
          <cell r="I234">
            <v>1</v>
          </cell>
          <cell r="J234">
            <v>9</v>
          </cell>
          <cell r="K234">
            <v>2</v>
          </cell>
          <cell r="L234">
            <v>18</v>
          </cell>
          <cell r="M234" t="str">
            <v>NO</v>
          </cell>
          <cell r="N234">
            <v>0</v>
          </cell>
          <cell r="O234">
            <v>12</v>
          </cell>
          <cell r="P234">
            <v>0</v>
          </cell>
          <cell r="Q234">
            <v>0</v>
          </cell>
          <cell r="R234">
            <v>36</v>
          </cell>
          <cell r="S234">
            <v>0</v>
          </cell>
          <cell r="T234"/>
          <cell r="U234">
            <v>318.88001365703974</v>
          </cell>
          <cell r="V234">
            <v>0</v>
          </cell>
          <cell r="W234">
            <v>0</v>
          </cell>
          <cell r="X234">
            <v>11479.680491653431</v>
          </cell>
          <cell r="Y234">
            <v>11479.680491653431</v>
          </cell>
          <cell r="Z234">
            <v>0</v>
          </cell>
          <cell r="AA234">
            <v>318.88001365703974</v>
          </cell>
          <cell r="AB234">
            <v>15.04666587574005</v>
          </cell>
          <cell r="AC234">
            <v>8</v>
          </cell>
          <cell r="AD234">
            <v>56.247520510969849</v>
          </cell>
          <cell r="AE234">
            <v>101.92563541204032</v>
          </cell>
          <cell r="AF234">
            <v>16.712788975735833</v>
          </cell>
          <cell r="AG234">
            <v>23.620741752373316</v>
          </cell>
          <cell r="AH234" t="e">
            <v>#N/A</v>
          </cell>
          <cell r="AI234">
            <v>318.88001365703974</v>
          </cell>
          <cell r="AJ234">
            <v>18</v>
          </cell>
          <cell r="AK234">
            <v>17.715556314279986</v>
          </cell>
        </row>
        <row r="235">
          <cell r="A235" t="str">
            <v>L004</v>
          </cell>
          <cell r="B235" t="str">
            <v>MBO + LI</v>
          </cell>
          <cell r="C235" t="str">
            <v>PEOMMPI0200LIFCCV</v>
          </cell>
          <cell r="D235" t="str">
            <v>VENTANILLA</v>
          </cell>
          <cell r="E235" t="str">
            <v>LIMPIEZA INDUSTRIAL DIARIA VENTANILLA</v>
          </cell>
          <cell r="F235" t="str">
            <v>LIMPIEZA INDUSTRIAL DIARIA VENTANILLA (TG3, TG4, TV5, HRSG11, HRSG12 Y COMUNES PLANTA)</v>
          </cell>
          <cell r="G235" t="str">
            <v>MMPI0200</v>
          </cell>
          <cell r="H235" t="str">
            <v>NUM</v>
          </cell>
          <cell r="I235">
            <v>1</v>
          </cell>
          <cell r="J235">
            <v>9</v>
          </cell>
          <cell r="K235">
            <v>4</v>
          </cell>
          <cell r="L235">
            <v>36</v>
          </cell>
          <cell r="M235" t="str">
            <v>NO</v>
          </cell>
          <cell r="N235">
            <v>260</v>
          </cell>
          <cell r="O235">
            <v>0</v>
          </cell>
          <cell r="P235">
            <v>0</v>
          </cell>
          <cell r="Q235">
            <v>780</v>
          </cell>
          <cell r="R235">
            <v>0</v>
          </cell>
          <cell r="S235">
            <v>0</v>
          </cell>
          <cell r="T235">
            <v>1101.0888000000011</v>
          </cell>
          <cell r="U235"/>
          <cell r="V235">
            <v>0</v>
          </cell>
          <cell r="W235">
            <v>858849.2640000009</v>
          </cell>
          <cell r="X235">
            <v>0</v>
          </cell>
          <cell r="Y235">
            <v>858849.2640000009</v>
          </cell>
          <cell r="Z235">
            <v>0</v>
          </cell>
          <cell r="AA235">
            <v>1101.0888000000011</v>
          </cell>
          <cell r="AB235">
            <v>15.04666587574005</v>
          </cell>
          <cell r="AC235">
            <v>36</v>
          </cell>
          <cell r="AD235">
            <v>145.03667211493854</v>
          </cell>
          <cell r="AE235">
            <v>275.10096642131373</v>
          </cell>
          <cell r="AF235">
            <v>57.709056603773639</v>
          </cell>
          <cell r="AG235">
            <v>81.562133333333421</v>
          </cell>
          <cell r="AH235" t="str">
            <v>Limpieza</v>
          </cell>
          <cell r="AI235">
            <v>1101.0888000000011</v>
          </cell>
          <cell r="AJ235">
            <v>36</v>
          </cell>
          <cell r="AK235">
            <v>30.585800000000031</v>
          </cell>
        </row>
        <row r="236">
          <cell r="A236" t="str">
            <v>L005</v>
          </cell>
          <cell r="B236" t="str">
            <v>MBO + LI</v>
          </cell>
          <cell r="C236" t="str">
            <v>PEOMMPI0200LFTGSR</v>
          </cell>
          <cell r="D236" t="str">
            <v>SANTA ROSA</v>
          </cell>
          <cell r="E236" t="str">
            <v>LIMPIEZA INDUSTRIAL DIARIA SANTA ROSA</v>
          </cell>
          <cell r="F236" t="str">
            <v>LIMPIEZA INDUSTRIAL DIARIA SANTA ROSA (TG7, TG8, UTI5, UTI6)</v>
          </cell>
          <cell r="G236" t="str">
            <v>MMPI0200</v>
          </cell>
          <cell r="H236" t="str">
            <v>NUM</v>
          </cell>
          <cell r="I236">
            <v>1</v>
          </cell>
          <cell r="J236">
            <v>9</v>
          </cell>
          <cell r="K236">
            <v>2</v>
          </cell>
          <cell r="L236">
            <v>18</v>
          </cell>
          <cell r="M236" t="str">
            <v>NO</v>
          </cell>
          <cell r="N236">
            <v>0</v>
          </cell>
          <cell r="O236">
            <v>260</v>
          </cell>
          <cell r="P236">
            <v>0</v>
          </cell>
          <cell r="Q236">
            <v>0</v>
          </cell>
          <cell r="R236">
            <v>780</v>
          </cell>
          <cell r="S236">
            <v>0</v>
          </cell>
          <cell r="T236"/>
          <cell r="U236">
            <v>514.56756515497091</v>
          </cell>
          <cell r="V236">
            <v>0</v>
          </cell>
          <cell r="W236">
            <v>0</v>
          </cell>
          <cell r="X236">
            <v>401362.70082087733</v>
          </cell>
          <cell r="Y236">
            <v>401362.70082087733</v>
          </cell>
          <cell r="Z236">
            <v>0</v>
          </cell>
          <cell r="AA236">
            <v>514.56756515497091</v>
          </cell>
          <cell r="AB236">
            <v>15.04666587574005</v>
          </cell>
          <cell r="AC236">
            <v>18</v>
          </cell>
          <cell r="AD236">
            <v>68.475158888905113</v>
          </cell>
          <cell r="AE236">
            <v>110.16735460962845</v>
          </cell>
          <cell r="AF236">
            <v>26.968949955711267</v>
          </cell>
          <cell r="AG236">
            <v>38.116115937405254</v>
          </cell>
          <cell r="AH236" t="str">
            <v>Limpieza</v>
          </cell>
          <cell r="AI236">
            <v>514.56756515497091</v>
          </cell>
          <cell r="AJ236">
            <v>18</v>
          </cell>
          <cell r="AK236">
            <v>28.587086953053941</v>
          </cell>
        </row>
        <row r="237">
          <cell r="A237" t="str">
            <v>L006</v>
          </cell>
          <cell r="B237" t="str">
            <v>MBO + LI</v>
          </cell>
          <cell r="C237" t="str">
            <v>PEOMMPI0200LIFCTM</v>
          </cell>
          <cell r="D237" t="str">
            <v>MALACAS</v>
          </cell>
          <cell r="E237" t="str">
            <v>LIMPIEZA INDUSTRIAL DIARIA MALACAS</v>
          </cell>
          <cell r="F237" t="str">
            <v>LIMPIEZA INDUSTRIAL DIARIA MALACAS (TG4, TG5, TG6 Y COMUNES)</v>
          </cell>
          <cell r="G237" t="str">
            <v>MMPI0200</v>
          </cell>
          <cell r="H237" t="str">
            <v>NUM</v>
          </cell>
          <cell r="I237">
            <v>1</v>
          </cell>
          <cell r="J237">
            <v>9</v>
          </cell>
          <cell r="K237">
            <v>2</v>
          </cell>
          <cell r="L237">
            <v>18</v>
          </cell>
          <cell r="M237" t="str">
            <v>NO</v>
          </cell>
          <cell r="N237">
            <v>0</v>
          </cell>
          <cell r="O237">
            <v>0</v>
          </cell>
          <cell r="P237">
            <v>260</v>
          </cell>
          <cell r="Q237">
            <v>0</v>
          </cell>
          <cell r="R237">
            <v>0</v>
          </cell>
          <cell r="S237">
            <v>780</v>
          </cell>
          <cell r="T237"/>
          <cell r="U237"/>
          <cell r="V237">
            <v>679.27641114057815</v>
          </cell>
          <cell r="W237">
            <v>0</v>
          </cell>
          <cell r="X237">
            <v>0</v>
          </cell>
          <cell r="Y237">
            <v>0</v>
          </cell>
          <cell r="Z237">
            <v>529835.60068965098</v>
          </cell>
          <cell r="AA237">
            <v>679.27641114057815</v>
          </cell>
          <cell r="AB237">
            <v>15.04666587574005</v>
          </cell>
          <cell r="AC237">
            <v>18</v>
          </cell>
          <cell r="AD237">
            <v>128.28102005919513</v>
          </cell>
          <cell r="AE237">
            <v>194.23714506897434</v>
          </cell>
          <cell r="AF237">
            <v>35.601489053489423</v>
          </cell>
          <cell r="AG237">
            <v>50.316771195598385</v>
          </cell>
          <cell r="AH237" t="str">
            <v>Limpieza</v>
          </cell>
          <cell r="AI237">
            <v>679.27641114057815</v>
          </cell>
          <cell r="AJ237">
            <v>18</v>
          </cell>
          <cell r="AK237">
            <v>37.737578396698787</v>
          </cell>
        </row>
        <row r="238">
          <cell r="A238" t="str">
            <v>L028</v>
          </cell>
          <cell r="B238" t="str">
            <v>MBO + LI</v>
          </cell>
          <cell r="C238" t="str">
            <v>PEOMMPI0200LV1SV</v>
          </cell>
          <cell r="D238" t="str">
            <v>SANTA ROSA Y MALACAS</v>
          </cell>
          <cell r="E238" t="str">
            <v xml:space="preserve"> LIMPIEZA INDUSTRIAL CONDICIONAL</v>
          </cell>
          <cell r="F238" t="str">
            <v>LIMPIEZA INDUSTRIAL CONDICIONAL</v>
          </cell>
          <cell r="G238" t="str">
            <v>MMPI0200</v>
          </cell>
          <cell r="H238" t="str">
            <v>NUM</v>
          </cell>
          <cell r="I238">
            <v>1</v>
          </cell>
          <cell r="J238">
            <v>9</v>
          </cell>
          <cell r="K238">
            <v>2</v>
          </cell>
          <cell r="L238">
            <v>18</v>
          </cell>
          <cell r="M238" t="str">
            <v>NO</v>
          </cell>
          <cell r="N238">
            <v>0</v>
          </cell>
          <cell r="O238">
            <v>52</v>
          </cell>
          <cell r="P238">
            <v>52</v>
          </cell>
          <cell r="Q238">
            <v>0</v>
          </cell>
          <cell r="R238">
            <v>156</v>
          </cell>
          <cell r="S238">
            <v>156</v>
          </cell>
          <cell r="T238"/>
          <cell r="U238">
            <v>495.71559882072472</v>
          </cell>
          <cell r="V238">
            <v>495.71559882072472</v>
          </cell>
          <cell r="W238">
            <v>0</v>
          </cell>
          <cell r="X238">
            <v>77331.633416033059</v>
          </cell>
          <cell r="Y238">
            <v>77331.633416033059</v>
          </cell>
          <cell r="Z238">
            <v>77331.633416033059</v>
          </cell>
          <cell r="AA238">
            <v>495.71559882072472</v>
          </cell>
          <cell r="AB238">
            <v>15.04666587574005</v>
          </cell>
          <cell r="AC238">
            <v>18</v>
          </cell>
          <cell r="AD238">
            <v>62.163038654374866</v>
          </cell>
          <cell r="AE238">
            <v>100.01199901061024</v>
          </cell>
          <cell r="AF238">
            <v>25.980901405698358</v>
          </cell>
          <cell r="AG238">
            <v>36.719673986720352</v>
          </cell>
          <cell r="AH238" t="str">
            <v>Limpieza</v>
          </cell>
          <cell r="AI238">
            <v>495.71559882072472</v>
          </cell>
          <cell r="AJ238">
            <v>18</v>
          </cell>
          <cell r="AK238">
            <v>27.539755490040264</v>
          </cell>
        </row>
        <row r="239">
          <cell r="A239" t="str">
            <v>L032</v>
          </cell>
          <cell r="B239" t="str">
            <v>MBO + LI</v>
          </cell>
          <cell r="C239" t="str">
            <v>PEOMMPI0200LVCOMSR</v>
          </cell>
          <cell r="D239" t="str">
            <v>SANTA ROSA</v>
          </cell>
          <cell r="E239" t="str">
            <v xml:space="preserve"> LIMPIEZA INDUSTRIAL COMUNES</v>
          </cell>
          <cell r="F239" t="str">
            <v>LIMPIEZA INDUSTRIAL COMUNES</v>
          </cell>
          <cell r="G239" t="str">
            <v>MMPI0200</v>
          </cell>
          <cell r="H239" t="str">
            <v>NUM</v>
          </cell>
          <cell r="I239">
            <v>3</v>
          </cell>
          <cell r="J239">
            <v>9</v>
          </cell>
          <cell r="K239">
            <v>5</v>
          </cell>
          <cell r="L239">
            <v>135</v>
          </cell>
          <cell r="M239" t="str">
            <v>NO</v>
          </cell>
          <cell r="N239">
            <v>0</v>
          </cell>
          <cell r="O239">
            <v>6</v>
          </cell>
          <cell r="P239">
            <v>0</v>
          </cell>
          <cell r="Q239">
            <v>0</v>
          </cell>
          <cell r="R239">
            <v>18</v>
          </cell>
          <cell r="S239">
            <v>0</v>
          </cell>
          <cell r="T239"/>
          <cell r="U239">
            <v>3877.4249099670242</v>
          </cell>
          <cell r="V239">
            <v>0</v>
          </cell>
          <cell r="W239">
            <v>0</v>
          </cell>
          <cell r="X239">
            <v>69793.648379406441</v>
          </cell>
          <cell r="Y239">
            <v>69793.648379406441</v>
          </cell>
          <cell r="Z239">
            <v>0</v>
          </cell>
          <cell r="AA239">
            <v>3877.4249099670242</v>
          </cell>
          <cell r="AB239">
            <v>15.19661014401402</v>
          </cell>
          <cell r="AC239">
            <v>135</v>
          </cell>
          <cell r="AD239">
            <v>511.88775061636727</v>
          </cell>
          <cell r="AE239">
            <v>823.55879500727485</v>
          </cell>
          <cell r="AF239">
            <v>203.21933490393209</v>
          </cell>
          <cell r="AG239">
            <v>287.21665999755737</v>
          </cell>
          <cell r="AH239" t="str">
            <v>Limpieza</v>
          </cell>
          <cell r="AI239">
            <v>3877.4249099670242</v>
          </cell>
          <cell r="AJ239">
            <v>135</v>
          </cell>
          <cell r="AK239">
            <v>28.721665999755736</v>
          </cell>
        </row>
        <row r="240">
          <cell r="A240" t="str">
            <v>L031</v>
          </cell>
          <cell r="B240" t="str">
            <v>MBO + LI</v>
          </cell>
          <cell r="C240" t="str">
            <v>PEOMMPI0200LVUTISR</v>
          </cell>
          <cell r="D240" t="str">
            <v>SANTA ROSA</v>
          </cell>
          <cell r="E240" t="str">
            <v xml:space="preserve"> LIMP IND BIMESTRAL COMUNES  TG5 Y TG6</v>
          </cell>
          <cell r="F240" t="str">
            <v>LIMPIEZA INDUSTRIAL BIMESTRAL COMUNES  TG5 Y TG6</v>
          </cell>
          <cell r="G240" t="str">
            <v>MMPI0200</v>
          </cell>
          <cell r="H240" t="str">
            <v>NUM</v>
          </cell>
          <cell r="I240">
            <v>6</v>
          </cell>
          <cell r="J240">
            <v>9</v>
          </cell>
          <cell r="K240">
            <v>6</v>
          </cell>
          <cell r="L240">
            <v>324</v>
          </cell>
          <cell r="M240" t="str">
            <v>NO</v>
          </cell>
          <cell r="N240">
            <v>0</v>
          </cell>
          <cell r="O240">
            <v>6</v>
          </cell>
          <cell r="P240">
            <v>0</v>
          </cell>
          <cell r="Q240">
            <v>0</v>
          </cell>
          <cell r="R240">
            <v>18</v>
          </cell>
          <cell r="S240">
            <v>0</v>
          </cell>
          <cell r="T240"/>
          <cell r="U240">
            <v>9310.6646296021117</v>
          </cell>
          <cell r="V240">
            <v>0</v>
          </cell>
          <cell r="W240">
            <v>0</v>
          </cell>
          <cell r="X240">
            <v>167591.963332838</v>
          </cell>
          <cell r="Y240">
            <v>167591.963332838</v>
          </cell>
          <cell r="Z240">
            <v>0</v>
          </cell>
          <cell r="AA240">
            <v>9310.6646296021117</v>
          </cell>
          <cell r="AB240">
            <v>15.213270618266685</v>
          </cell>
          <cell r="AC240">
            <v>324</v>
          </cell>
          <cell r="AD240">
            <v>1228.0836838658317</v>
          </cell>
          <cell r="AE240">
            <v>1975.8220774668032</v>
          </cell>
          <cell r="AF240">
            <v>487.98032649906247</v>
          </cell>
          <cell r="AG240">
            <v>689.67886145200828</v>
          </cell>
          <cell r="AH240" t="str">
            <v>Limpieza</v>
          </cell>
          <cell r="AI240">
            <v>9310.6646296021117</v>
          </cell>
          <cell r="AJ240">
            <v>324</v>
          </cell>
          <cell r="AK240">
            <v>28.736619227167012</v>
          </cell>
        </row>
        <row r="241">
          <cell r="A241" t="str">
            <v>L029</v>
          </cell>
          <cell r="B241" t="str">
            <v>MBO + LI</v>
          </cell>
          <cell r="C241" t="str">
            <v>PEOMMPI0200LVTG8SR</v>
          </cell>
          <cell r="D241" t="str">
            <v>SANTA ROSA</v>
          </cell>
          <cell r="E241" t="str">
            <v xml:space="preserve"> LIMPIEZA INDUSTRIAL BIMENSUAL TG8</v>
          </cell>
          <cell r="F241" t="str">
            <v>LIMPIEZA INDUSTRIAL BIMENSUAL TG8</v>
          </cell>
          <cell r="G241" t="str">
            <v>MMPI0200</v>
          </cell>
          <cell r="H241" t="str">
            <v>NUM</v>
          </cell>
          <cell r="I241">
            <v>3</v>
          </cell>
          <cell r="J241">
            <v>9</v>
          </cell>
          <cell r="K241">
            <v>5</v>
          </cell>
          <cell r="L241">
            <v>135</v>
          </cell>
          <cell r="M241" t="str">
            <v>NO</v>
          </cell>
          <cell r="N241">
            <v>0</v>
          </cell>
          <cell r="O241">
            <v>6</v>
          </cell>
          <cell r="P241">
            <v>0</v>
          </cell>
          <cell r="Q241">
            <v>0</v>
          </cell>
          <cell r="R241">
            <v>18</v>
          </cell>
          <cell r="S241">
            <v>0</v>
          </cell>
          <cell r="T241"/>
          <cell r="U241">
            <v>3877.4249099670242</v>
          </cell>
          <cell r="V241">
            <v>0</v>
          </cell>
          <cell r="W241">
            <v>0</v>
          </cell>
          <cell r="X241">
            <v>69793.648379406441</v>
          </cell>
          <cell r="Y241">
            <v>69793.648379406441</v>
          </cell>
          <cell r="Z241">
            <v>0</v>
          </cell>
          <cell r="AA241">
            <v>3877.4249099670242</v>
          </cell>
          <cell r="AB241">
            <v>15.19661014401402</v>
          </cell>
          <cell r="AC241">
            <v>135</v>
          </cell>
          <cell r="AD241">
            <v>511.88775061636727</v>
          </cell>
          <cell r="AE241">
            <v>823.55879500727485</v>
          </cell>
          <cell r="AF241">
            <v>203.21933490393209</v>
          </cell>
          <cell r="AG241">
            <v>287.21665999755737</v>
          </cell>
          <cell r="AH241" t="str">
            <v>Limpieza</v>
          </cell>
          <cell r="AI241">
            <v>3877.4249099670242</v>
          </cell>
          <cell r="AJ241">
            <v>135</v>
          </cell>
          <cell r="AK241">
            <v>28.721665999755736</v>
          </cell>
        </row>
        <row r="242">
          <cell r="A242" t="str">
            <v>L030</v>
          </cell>
          <cell r="B242" t="str">
            <v>MBO + LI</v>
          </cell>
          <cell r="C242" t="str">
            <v>PEOMMPI0200LVTG7SR</v>
          </cell>
          <cell r="D242" t="str">
            <v>SANTA ROSA</v>
          </cell>
          <cell r="E242" t="str">
            <v xml:space="preserve"> LIMPIEZA INDUSTRIAL BIMENSUAL TG7</v>
          </cell>
          <cell r="F242" t="str">
            <v>LIMPIEZA INDUSTRIAL BIMENSUAL TG7</v>
          </cell>
          <cell r="G242" t="str">
            <v>MMPI0200</v>
          </cell>
          <cell r="H242" t="str">
            <v>NUM</v>
          </cell>
          <cell r="I242">
            <v>5</v>
          </cell>
          <cell r="J242">
            <v>9</v>
          </cell>
          <cell r="K242">
            <v>7</v>
          </cell>
          <cell r="L242">
            <v>315</v>
          </cell>
          <cell r="M242" t="str">
            <v>NO</v>
          </cell>
          <cell r="N242">
            <v>0</v>
          </cell>
          <cell r="O242">
            <v>6</v>
          </cell>
          <cell r="P242">
            <v>0</v>
          </cell>
          <cell r="Q242">
            <v>0</v>
          </cell>
          <cell r="R242">
            <v>18</v>
          </cell>
          <cell r="S242">
            <v>0</v>
          </cell>
          <cell r="T242"/>
          <cell r="U242">
            <v>9055.3995327251614</v>
          </cell>
          <cell r="V242">
            <v>0</v>
          </cell>
          <cell r="W242">
            <v>0</v>
          </cell>
          <cell r="X242">
            <v>162997.19158905291</v>
          </cell>
          <cell r="Y242">
            <v>162997.19158905291</v>
          </cell>
          <cell r="Z242">
            <v>0</v>
          </cell>
          <cell r="AA242">
            <v>9055.3995327251614</v>
          </cell>
          <cell r="AB242">
            <v>15.225170957018591</v>
          </cell>
          <cell r="AC242">
            <v>315</v>
          </cell>
          <cell r="AD242">
            <v>1193.6598887491132</v>
          </cell>
          <cell r="AE242">
            <v>1920.4388040992226</v>
          </cell>
          <cell r="AF242">
            <v>474.60165265855147</v>
          </cell>
          <cell r="AG242">
            <v>670.77033575741939</v>
          </cell>
          <cell r="AH242" t="str">
            <v>Limpieza</v>
          </cell>
          <cell r="AI242">
            <v>9055.3995327251614</v>
          </cell>
          <cell r="AJ242">
            <v>315</v>
          </cell>
          <cell r="AK242">
            <v>28.747300103889401</v>
          </cell>
        </row>
        <row r="243">
          <cell r="A243" t="str">
            <v>L015</v>
          </cell>
          <cell r="B243" t="str">
            <v>MBO + LI</v>
          </cell>
          <cell r="C243" t="str">
            <v>PEOMMPI0200LVM2MV</v>
          </cell>
          <cell r="D243" t="str">
            <v>VENTANILLA</v>
          </cell>
          <cell r="E243" t="str">
            <v xml:space="preserve"> LIMP IND BIMENSUAL SIST REFRIG PRINC</v>
          </cell>
          <cell r="F243" t="str">
            <v>LIMPIEZA INDUSTRIAL BIMENSUAL SISTEMA REFRIGERACION PRINCIPAL: TECHOS DE TORRES, MANIFOLDS, EQUIPOS Y TUBERIAS EN AMBAS TORRES</v>
          </cell>
          <cell r="G243" t="str">
            <v>MMPI0200</v>
          </cell>
          <cell r="H243" t="str">
            <v>NUM</v>
          </cell>
          <cell r="I243">
            <v>3</v>
          </cell>
          <cell r="J243">
            <v>9</v>
          </cell>
          <cell r="K243">
            <v>5</v>
          </cell>
          <cell r="L243">
            <v>135</v>
          </cell>
          <cell r="M243" t="str">
            <v>SI</v>
          </cell>
          <cell r="N243">
            <v>6</v>
          </cell>
          <cell r="O243">
            <v>0</v>
          </cell>
          <cell r="P243">
            <v>0</v>
          </cell>
          <cell r="Q243">
            <v>18</v>
          </cell>
          <cell r="R243">
            <v>0</v>
          </cell>
          <cell r="S243">
            <v>0</v>
          </cell>
          <cell r="T243">
            <v>3718.183240427536</v>
          </cell>
          <cell r="U243"/>
          <cell r="V243">
            <v>0</v>
          </cell>
          <cell r="W243">
            <v>66927.298327695651</v>
          </cell>
          <cell r="X243">
            <v>0</v>
          </cell>
          <cell r="Y243">
            <v>66927.298327695651</v>
          </cell>
          <cell r="Z243">
            <v>0</v>
          </cell>
          <cell r="AA243">
            <v>3718.183240427536</v>
          </cell>
          <cell r="AB243">
            <v>15.046665875740052</v>
          </cell>
          <cell r="AC243">
            <v>135</v>
          </cell>
          <cell r="AD243">
            <v>466.3286782482736</v>
          </cell>
          <cell r="AE243">
            <v>750.26035272976833</v>
          </cell>
          <cell r="AF243">
            <v>194.87333545217695</v>
          </cell>
          <cell r="AG243">
            <v>275.42098077241008</v>
          </cell>
          <cell r="AH243" t="str">
            <v>Limpieza</v>
          </cell>
          <cell r="AI243">
            <v>3718.183240427536</v>
          </cell>
          <cell r="AJ243">
            <v>135</v>
          </cell>
          <cell r="AK243">
            <v>27.542098077241008</v>
          </cell>
        </row>
        <row r="244">
          <cell r="A244" t="str">
            <v>L051</v>
          </cell>
          <cell r="B244" t="str">
            <v>MBO + LI</v>
          </cell>
          <cell r="C244" t="str">
            <v>PEOMMPI02LV1MPV011</v>
          </cell>
          <cell r="D244" t="str">
            <v>VENTANILLA Y MALACAS</v>
          </cell>
          <cell r="E244" t="str">
            <v>LIMPIEZA INDUSTRIAL DE PISTAS DE ACCESO</v>
          </cell>
          <cell r="F244" t="str">
            <v>LIMPIEZA INDUSTRIAL BIMENSUAL DE PISTAS/BARANDAS/SARDINELES Y GUARDAVIAS (TGS,TV, SSEE REP)</v>
          </cell>
          <cell r="G244" t="str">
            <v>MMPI0200</v>
          </cell>
          <cell r="H244" t="str">
            <v>NUM</v>
          </cell>
          <cell r="I244">
            <v>3</v>
          </cell>
          <cell r="J244">
            <v>9</v>
          </cell>
          <cell r="K244">
            <v>4</v>
          </cell>
          <cell r="L244">
            <v>108</v>
          </cell>
          <cell r="M244" t="str">
            <v>NO</v>
          </cell>
          <cell r="N244">
            <v>6</v>
          </cell>
          <cell r="O244">
            <v>0</v>
          </cell>
          <cell r="P244">
            <v>6</v>
          </cell>
          <cell r="Q244">
            <v>18</v>
          </cell>
          <cell r="R244">
            <v>0</v>
          </cell>
          <cell r="S244">
            <v>18</v>
          </cell>
          <cell r="T244">
            <v>3303.2664000000054</v>
          </cell>
          <cell r="U244"/>
          <cell r="V244">
            <v>3303.2664000000054</v>
          </cell>
          <cell r="W244">
            <v>59458.795200000095</v>
          </cell>
          <cell r="X244">
            <v>0</v>
          </cell>
          <cell r="Y244">
            <v>59458.795200000095</v>
          </cell>
          <cell r="Z244">
            <v>59458.795200000095</v>
          </cell>
          <cell r="AA244">
            <v>3303.2664000000054</v>
          </cell>
          <cell r="AB244">
            <v>15.046665875740052</v>
          </cell>
          <cell r="AC244">
            <v>108</v>
          </cell>
          <cell r="AD244">
            <v>483.12673714505451</v>
          </cell>
          <cell r="AE244">
            <v>777.28617846370378</v>
          </cell>
          <cell r="AF244">
            <v>173.12716981132104</v>
          </cell>
          <cell r="AG244">
            <v>244.68640000000039</v>
          </cell>
          <cell r="AH244" t="e">
            <v>#N/A</v>
          </cell>
          <cell r="AI244">
            <v>3303.2664000000054</v>
          </cell>
          <cell r="AJ244">
            <v>108</v>
          </cell>
          <cell r="AK244">
            <v>30.585800000000049</v>
          </cell>
        </row>
        <row r="245">
          <cell r="A245" t="str">
            <v>L039</v>
          </cell>
          <cell r="B245" t="str">
            <v>MBO + LI</v>
          </cell>
          <cell r="C245" t="str">
            <v>PEOMMPI0200LVEXTM1</v>
          </cell>
          <cell r="D245" t="str">
            <v>MALACAS</v>
          </cell>
          <cell r="E245" t="str">
            <v>LIMP IND BATERÍA DE LLEGADA DE GAS</v>
          </cell>
          <cell r="F245" t="str">
            <v>LIMPIEZA INDUSTRIAL BATERÍA DE LLEGADA DE GAS</v>
          </cell>
          <cell r="G245" t="str">
            <v>MMPI0200</v>
          </cell>
          <cell r="H245" t="str">
            <v>NUM</v>
          </cell>
          <cell r="I245">
            <v>1</v>
          </cell>
          <cell r="J245">
            <v>9</v>
          </cell>
          <cell r="K245">
            <v>2</v>
          </cell>
          <cell r="L245">
            <v>18</v>
          </cell>
          <cell r="M245" t="str">
            <v>NO</v>
          </cell>
          <cell r="N245">
            <v>0</v>
          </cell>
          <cell r="O245">
            <v>0</v>
          </cell>
          <cell r="P245">
            <v>24</v>
          </cell>
          <cell r="Q245">
            <v>0</v>
          </cell>
          <cell r="R245">
            <v>0</v>
          </cell>
          <cell r="S245">
            <v>72</v>
          </cell>
          <cell r="T245"/>
          <cell r="U245"/>
          <cell r="V245">
            <v>679.27641114057815</v>
          </cell>
          <cell r="W245">
            <v>0</v>
          </cell>
          <cell r="X245">
            <v>0</v>
          </cell>
          <cell r="Y245">
            <v>0</v>
          </cell>
          <cell r="Z245">
            <v>48907.901602121623</v>
          </cell>
          <cell r="AA245">
            <v>679.27641114057815</v>
          </cell>
          <cell r="AB245">
            <v>15.04666587574005</v>
          </cell>
          <cell r="AC245">
            <v>18</v>
          </cell>
          <cell r="AD245">
            <v>128.28102005919513</v>
          </cell>
          <cell r="AE245">
            <v>194.23714506897434</v>
          </cell>
          <cell r="AF245">
            <v>35.601489053489423</v>
          </cell>
          <cell r="AG245">
            <v>50.316771195598385</v>
          </cell>
          <cell r="AH245" t="str">
            <v>Limpieza</v>
          </cell>
          <cell r="AI245">
            <v>679.27641114057815</v>
          </cell>
          <cell r="AJ245">
            <v>18</v>
          </cell>
          <cell r="AK245">
            <v>37.737578396698787</v>
          </cell>
        </row>
        <row r="246">
          <cell r="A246" t="str">
            <v>L024</v>
          </cell>
          <cell r="B246" t="str">
            <v>MBO + LI</v>
          </cell>
          <cell r="C246" t="str">
            <v>PEOMMPI0200LVCDV</v>
          </cell>
          <cell r="D246" t="str">
            <v>VENTANILLA Y MALACAS</v>
          </cell>
          <cell r="E246" t="str">
            <v xml:space="preserve"> LIMP IND ANUAL SIST. COMBUSTIBLE DIESEL</v>
          </cell>
          <cell r="F246" t="str">
            <v>LIMPIEZA INDUSTRIAL ANUAL SIST. COMBUSTIBLE DIESEL: CAMBIO Y LAVADO DE FILTROS DIESEL TG3, TG4</v>
          </cell>
          <cell r="G246" t="str">
            <v>MMPI0200</v>
          </cell>
          <cell r="H246" t="str">
            <v>NUM</v>
          </cell>
          <cell r="I246">
            <v>2</v>
          </cell>
          <cell r="J246">
            <v>8</v>
          </cell>
          <cell r="K246">
            <v>3</v>
          </cell>
          <cell r="L246">
            <v>48</v>
          </cell>
          <cell r="M246" t="str">
            <v>NO</v>
          </cell>
          <cell r="N246">
            <v>2</v>
          </cell>
          <cell r="O246">
            <v>0</v>
          </cell>
          <cell r="P246">
            <v>2</v>
          </cell>
          <cell r="Q246">
            <v>6</v>
          </cell>
          <cell r="R246">
            <v>0</v>
          </cell>
          <cell r="S246">
            <v>6</v>
          </cell>
          <cell r="T246">
            <v>1536.4371466402019</v>
          </cell>
          <cell r="U246"/>
          <cell r="V246">
            <v>1536.4371466402019</v>
          </cell>
          <cell r="W246">
            <v>9218.6228798412121</v>
          </cell>
          <cell r="X246">
            <v>0</v>
          </cell>
          <cell r="Y246">
            <v>9218.6228798412121</v>
          </cell>
          <cell r="Z246">
            <v>9218.6228798412121</v>
          </cell>
          <cell r="AA246">
            <v>1536.4371466402019</v>
          </cell>
          <cell r="AB246">
            <v>15.04666587574005</v>
          </cell>
          <cell r="AC246">
            <v>48</v>
          </cell>
          <cell r="AD246">
            <v>237.59785706861561</v>
          </cell>
          <cell r="AE246">
            <v>382.26311262210385</v>
          </cell>
          <cell r="AF246">
            <v>80.526055903574516</v>
          </cell>
          <cell r="AG246">
            <v>113.81015901038532</v>
          </cell>
          <cell r="AH246" t="str">
            <v>Limpieza</v>
          </cell>
          <cell r="AI246">
            <v>1536.4371466402019</v>
          </cell>
          <cell r="AJ246">
            <v>48</v>
          </cell>
          <cell r="AK246">
            <v>32.009107221670874</v>
          </cell>
        </row>
        <row r="247">
          <cell r="A247" t="str">
            <v>L016</v>
          </cell>
          <cell r="B247" t="str">
            <v>MBO + LI</v>
          </cell>
          <cell r="C247" t="str">
            <v>PEOMMPI0200LV6MV</v>
          </cell>
          <cell r="D247" t="str">
            <v>VENTANILLA Y MALACAS</v>
          </cell>
          <cell r="E247" t="str">
            <v>LIMP EXT TABLEROS Y COMPART (INTER 16KV)</v>
          </cell>
          <cell r="F247" t="str">
            <v>LIMPIEZA EXTERNA DE TABLEROS Y COMPARTIMIENTOS (INTERRUPTOR 16KV) TG3, TG4, TV5</v>
          </cell>
          <cell r="G247" t="str">
            <v>MMPI0200</v>
          </cell>
          <cell r="H247" t="str">
            <v>NUM</v>
          </cell>
          <cell r="I247">
            <v>1</v>
          </cell>
          <cell r="J247">
            <v>9</v>
          </cell>
          <cell r="K247">
            <v>3</v>
          </cell>
          <cell r="L247">
            <v>27</v>
          </cell>
          <cell r="M247" t="str">
            <v>SI</v>
          </cell>
          <cell r="N247">
            <v>6</v>
          </cell>
          <cell r="O247">
            <v>0</v>
          </cell>
          <cell r="P247">
            <v>6</v>
          </cell>
          <cell r="Q247">
            <v>18</v>
          </cell>
          <cell r="R247">
            <v>0</v>
          </cell>
          <cell r="S247">
            <v>18</v>
          </cell>
          <cell r="T247">
            <v>864.24589498511352</v>
          </cell>
          <cell r="U247"/>
          <cell r="V247">
            <v>864.24589498511352</v>
          </cell>
          <cell r="W247">
            <v>15556.426109732043</v>
          </cell>
          <cell r="X247">
            <v>0</v>
          </cell>
          <cell r="Y247">
            <v>15556.426109732043</v>
          </cell>
          <cell r="Z247">
            <v>15556.426109732043</v>
          </cell>
          <cell r="AA247">
            <v>864.24589498511352</v>
          </cell>
          <cell r="AB247">
            <v>15.04666587574005</v>
          </cell>
          <cell r="AC247">
            <v>27</v>
          </cell>
          <cell r="AD247">
            <v>133.64879460109628</v>
          </cell>
          <cell r="AE247">
            <v>215.0230008499334</v>
          </cell>
          <cell r="AF247">
            <v>45.295906445760664</v>
          </cell>
          <cell r="AG247">
            <v>64.018214443341748</v>
          </cell>
          <cell r="AH247" t="str">
            <v>Limpieza</v>
          </cell>
          <cell r="AI247">
            <v>864.24589498511352</v>
          </cell>
          <cell r="AJ247">
            <v>27</v>
          </cell>
          <cell r="AK247">
            <v>32.009107221670874</v>
          </cell>
        </row>
        <row r="248">
          <cell r="A248" t="str">
            <v>L019</v>
          </cell>
          <cell r="B248" t="str">
            <v>MBO + LI</v>
          </cell>
          <cell r="C248" t="str">
            <v>PEOMMPI0200LV1AV3</v>
          </cell>
          <cell r="D248" t="str">
            <v>VENTANILLA</v>
          </cell>
          <cell r="E248" t="str">
            <v>LIMPIEZA EXTERNA DE EQUIPOS Y TUBERIAS</v>
          </cell>
          <cell r="F248" t="str">
            <v>LIMPIEZA EXTERNA DE EQUIPOS Y TUBERIAS ANUAL: TANQUE BLOWN DOWN HRSG11, HRSG12</v>
          </cell>
          <cell r="G248" t="str">
            <v>MMPI0200</v>
          </cell>
          <cell r="H248" t="str">
            <v>NUM</v>
          </cell>
          <cell r="I248">
            <v>2</v>
          </cell>
          <cell r="J248">
            <v>9</v>
          </cell>
          <cell r="K248">
            <v>4</v>
          </cell>
          <cell r="L248">
            <v>72</v>
          </cell>
          <cell r="M248" t="str">
            <v>NO</v>
          </cell>
          <cell r="N248">
            <v>2</v>
          </cell>
          <cell r="O248">
            <v>0</v>
          </cell>
          <cell r="P248">
            <v>0</v>
          </cell>
          <cell r="Q248">
            <v>6</v>
          </cell>
          <cell r="R248">
            <v>0</v>
          </cell>
          <cell r="S248">
            <v>0</v>
          </cell>
          <cell r="T248">
            <v>2058.2702606198859</v>
          </cell>
          <cell r="U248"/>
          <cell r="V248">
            <v>0</v>
          </cell>
          <cell r="W248">
            <v>12349.621563719316</v>
          </cell>
          <cell r="X248">
            <v>0</v>
          </cell>
          <cell r="Y248">
            <v>12349.621563719316</v>
          </cell>
          <cell r="Z248">
            <v>0</v>
          </cell>
          <cell r="AA248">
            <v>2058.2702606198859</v>
          </cell>
          <cell r="AB248">
            <v>15.04666587574005</v>
          </cell>
          <cell r="AC248">
            <v>72</v>
          </cell>
          <cell r="AD248">
            <v>273.90063555562108</v>
          </cell>
          <cell r="AE248">
            <v>440.66941843851481</v>
          </cell>
          <cell r="AF248">
            <v>107.87579982284518</v>
          </cell>
          <cell r="AG248">
            <v>152.46446374962119</v>
          </cell>
          <cell r="AH248" t="str">
            <v>Limpieza</v>
          </cell>
          <cell r="AI248">
            <v>2058.2702606198859</v>
          </cell>
          <cell r="AJ248">
            <v>72</v>
          </cell>
          <cell r="AK248">
            <v>28.587086953053969</v>
          </cell>
        </row>
        <row r="249">
          <cell r="A249" t="str">
            <v>L017</v>
          </cell>
          <cell r="B249" t="str">
            <v>MBO + LI</v>
          </cell>
          <cell r="C249" t="str">
            <v>PEOMMPI0200LV1AV1</v>
          </cell>
          <cell r="D249" t="str">
            <v>VENTANILLA Y MALACAS</v>
          </cell>
          <cell r="E249" t="str">
            <v>LIMPIEZA EXTERNA DE DUCTO DE CHIMENEA</v>
          </cell>
          <cell r="F249" t="str">
            <v>LIMPIEZA EXTERNA ANUAL DE DUCTO DE CHIMENEA TG3, TG4</v>
          </cell>
          <cell r="G249" t="str">
            <v>MMPI0200</v>
          </cell>
          <cell r="H249" t="str">
            <v>NUM</v>
          </cell>
          <cell r="I249">
            <v>2</v>
          </cell>
          <cell r="J249">
            <v>9</v>
          </cell>
          <cell r="K249">
            <v>5</v>
          </cell>
          <cell r="L249">
            <v>90</v>
          </cell>
          <cell r="M249" t="str">
            <v>SI</v>
          </cell>
          <cell r="N249">
            <v>2</v>
          </cell>
          <cell r="O249">
            <v>0</v>
          </cell>
          <cell r="P249">
            <v>2</v>
          </cell>
          <cell r="Q249">
            <v>6</v>
          </cell>
          <cell r="R249">
            <v>0</v>
          </cell>
          <cell r="S249">
            <v>6</v>
          </cell>
          <cell r="T249">
            <v>2453.2670636451226</v>
          </cell>
          <cell r="U249"/>
          <cell r="V249">
            <v>2453.2670636451226</v>
          </cell>
          <cell r="W249">
            <v>14719.602381870736</v>
          </cell>
          <cell r="X249">
            <v>0</v>
          </cell>
          <cell r="Y249">
            <v>14719.602381870736</v>
          </cell>
          <cell r="Z249">
            <v>14719.602381870736</v>
          </cell>
          <cell r="AA249">
            <v>2453.2670636451226</v>
          </cell>
          <cell r="AB249">
            <v>15.04666587574005</v>
          </cell>
          <cell r="AC249">
            <v>90</v>
          </cell>
          <cell r="AD249">
            <v>302.34044674043884</v>
          </cell>
          <cell r="AE249">
            <v>486.42526354596373</v>
          </cell>
          <cell r="AF249">
            <v>128.57793834618042</v>
          </cell>
          <cell r="AG249">
            <v>181.72348619593501</v>
          </cell>
          <cell r="AH249" t="str">
            <v>Limpieza</v>
          </cell>
          <cell r="AI249">
            <v>2453.2670636451226</v>
          </cell>
          <cell r="AJ249">
            <v>90</v>
          </cell>
          <cell r="AK249">
            <v>27.258522929390249</v>
          </cell>
        </row>
        <row r="250">
          <cell r="A250" t="str">
            <v>L011</v>
          </cell>
          <cell r="B250" t="str">
            <v>MBO + LI</v>
          </cell>
          <cell r="C250" t="str">
            <v>PEOMMPI0200LVDMTV</v>
          </cell>
          <cell r="D250" t="str">
            <v>VENTANILLA</v>
          </cell>
          <cell r="E250" t="str">
            <v xml:space="preserve"> LIMP IND TUBER Y VALV DOMOS</v>
          </cell>
          <cell r="F250" t="str">
            <v>LIMPIEZA EXTERIOR SEMESTRAL TUBERIAS Y VALVULAS DOMOS HP, IP, LP (ZONA SUPERIOR DE HRSG11, HRSG12)</v>
          </cell>
          <cell r="G250" t="str">
            <v>MMPI0200</v>
          </cell>
          <cell r="H250" t="str">
            <v>NUM</v>
          </cell>
          <cell r="I250">
            <v>3</v>
          </cell>
          <cell r="J250">
            <v>9</v>
          </cell>
          <cell r="K250">
            <v>5</v>
          </cell>
          <cell r="L250">
            <v>135</v>
          </cell>
          <cell r="M250" t="str">
            <v>SI</v>
          </cell>
          <cell r="N250">
            <v>4</v>
          </cell>
          <cell r="O250">
            <v>0</v>
          </cell>
          <cell r="P250">
            <v>0</v>
          </cell>
          <cell r="Q250">
            <v>12</v>
          </cell>
          <cell r="R250">
            <v>0</v>
          </cell>
          <cell r="S250">
            <v>0</v>
          </cell>
          <cell r="T250">
            <v>3859.2567386622882</v>
          </cell>
          <cell r="U250"/>
          <cell r="V250">
            <v>0</v>
          </cell>
          <cell r="W250">
            <v>46311.080863947456</v>
          </cell>
          <cell r="X250">
            <v>0</v>
          </cell>
          <cell r="Y250">
            <v>46311.080863947456</v>
          </cell>
          <cell r="Z250">
            <v>0</v>
          </cell>
          <cell r="AA250">
            <v>3859.2567386622882</v>
          </cell>
          <cell r="AB250">
            <v>15.046665875740048</v>
          </cell>
          <cell r="AC250">
            <v>135</v>
          </cell>
          <cell r="AD250">
            <v>513.56369166679031</v>
          </cell>
          <cell r="AE250">
            <v>826.25515957221648</v>
          </cell>
          <cell r="AF250">
            <v>202.26712466783479</v>
          </cell>
          <cell r="AG250">
            <v>285.87086953053989</v>
          </cell>
          <cell r="AH250" t="str">
            <v>Limpieza</v>
          </cell>
          <cell r="AI250">
            <v>3859.2567386622882</v>
          </cell>
          <cell r="AJ250">
            <v>135</v>
          </cell>
          <cell r="AK250">
            <v>28.587086953053987</v>
          </cell>
        </row>
        <row r="251">
          <cell r="A251" t="str">
            <v>L022</v>
          </cell>
          <cell r="B251" t="str">
            <v>MBO + LI</v>
          </cell>
          <cell r="C251" t="str">
            <v>PEOMMPI0200LVIVV2</v>
          </cell>
          <cell r="D251" t="str">
            <v>VENTANILLA Y MALACAS</v>
          </cell>
          <cell r="E251" t="str">
            <v>LIMP EXT TECHO Y CANALETAS CASA MAQUINAS</v>
          </cell>
          <cell r="F251" t="str">
            <v>LIMPIEZA EXTERIOR DE TECHOS Y CANALETAS DE CASA DE MAQUINAS BIMENSUAL</v>
          </cell>
          <cell r="G251" t="str">
            <v>MMPI0200</v>
          </cell>
          <cell r="H251" t="str">
            <v>NUM</v>
          </cell>
          <cell r="I251">
            <v>1</v>
          </cell>
          <cell r="J251">
            <v>3</v>
          </cell>
          <cell r="K251">
            <v>5</v>
          </cell>
          <cell r="L251">
            <v>15</v>
          </cell>
          <cell r="M251" t="str">
            <v>SI</v>
          </cell>
          <cell r="N251">
            <v>6</v>
          </cell>
          <cell r="O251">
            <v>0</v>
          </cell>
          <cell r="P251">
            <v>6</v>
          </cell>
          <cell r="Q251">
            <v>18</v>
          </cell>
          <cell r="R251">
            <v>0</v>
          </cell>
          <cell r="S251">
            <v>18</v>
          </cell>
          <cell r="T251">
            <v>413.09633235060335</v>
          </cell>
          <cell r="U251"/>
          <cell r="V251">
            <v>413.09633235060335</v>
          </cell>
          <cell r="W251">
            <v>7435.7339823108605</v>
          </cell>
          <cell r="X251">
            <v>0</v>
          </cell>
          <cell r="Y251">
            <v>7435.7339823108605</v>
          </cell>
          <cell r="Z251">
            <v>7435.7339823108605</v>
          </cell>
          <cell r="AA251">
            <v>413.09633235060335</v>
          </cell>
          <cell r="AB251">
            <v>15.046665875740048</v>
          </cell>
          <cell r="AC251">
            <v>15</v>
          </cell>
          <cell r="AD251">
            <v>51.802532211978864</v>
          </cell>
          <cell r="AE251">
            <v>83.343332508841542</v>
          </cell>
          <cell r="AF251">
            <v>21.650751171415269</v>
          </cell>
          <cell r="AG251">
            <v>30.599728322266916</v>
          </cell>
          <cell r="AH251" t="str">
            <v>Limpieza</v>
          </cell>
          <cell r="AI251">
            <v>413.09633235060335</v>
          </cell>
          <cell r="AJ251">
            <v>15</v>
          </cell>
          <cell r="AK251">
            <v>27.539755490040225</v>
          </cell>
        </row>
        <row r="252">
          <cell r="A252" t="str">
            <v>L023</v>
          </cell>
          <cell r="B252" t="str">
            <v>MBO + LI</v>
          </cell>
          <cell r="C252" t="str">
            <v>PEOMMPI0200LVIVV3</v>
          </cell>
          <cell r="D252" t="str">
            <v>VENTANILLA Y MALACAS</v>
          </cell>
          <cell r="E252" t="str">
            <v>LIMP EXT TECHO Y CANALETAS CM EXHAUSTIVA</v>
          </cell>
          <cell r="F252" t="str">
            <v>LIMPIEZA EXTERIOR DE TECHOS Y CANALETAS DE CASA DE MAQUINAS (LIMPIEZA EXHAUSTIVA) SEMESTRAL</v>
          </cell>
          <cell r="G252" t="str">
            <v>MMPI0200</v>
          </cell>
          <cell r="H252" t="str">
            <v>NUM</v>
          </cell>
          <cell r="I252">
            <v>1</v>
          </cell>
          <cell r="J252">
            <v>6</v>
          </cell>
          <cell r="K252">
            <v>6</v>
          </cell>
          <cell r="L252">
            <v>36</v>
          </cell>
          <cell r="M252" t="str">
            <v>SI</v>
          </cell>
          <cell r="N252">
            <v>2</v>
          </cell>
          <cell r="O252">
            <v>0</v>
          </cell>
          <cell r="P252">
            <v>6</v>
          </cell>
          <cell r="Q252">
            <v>6</v>
          </cell>
          <cell r="R252">
            <v>0</v>
          </cell>
          <cell r="S252">
            <v>18</v>
          </cell>
          <cell r="T252">
            <v>938.55156682752215</v>
          </cell>
          <cell r="U252"/>
          <cell r="V252">
            <v>938.55156682752215</v>
          </cell>
          <cell r="W252">
            <v>5631.3094009651331</v>
          </cell>
          <cell r="X252">
            <v>0</v>
          </cell>
          <cell r="Y252">
            <v>5631.3094009651331</v>
          </cell>
          <cell r="Z252">
            <v>16893.9282028954</v>
          </cell>
          <cell r="AA252">
            <v>938.55156682752215</v>
          </cell>
          <cell r="AB252">
            <v>15.046665875740052</v>
          </cell>
          <cell r="AC252">
            <v>36</v>
          </cell>
          <cell r="AD252">
            <v>106.62062516985351</v>
          </cell>
          <cell r="AE252">
            <v>171.53829815633662</v>
          </cell>
          <cell r="AF252">
            <v>49.190333691169918</v>
          </cell>
          <cell r="AG252">
            <v>69.522338283520156</v>
          </cell>
          <cell r="AH252" t="str">
            <v>Limpieza</v>
          </cell>
          <cell r="AI252">
            <v>938.55156682752215</v>
          </cell>
          <cell r="AJ252">
            <v>36</v>
          </cell>
          <cell r="AK252">
            <v>26.070876856320059</v>
          </cell>
        </row>
        <row r="253">
          <cell r="A253" t="str">
            <v>L021</v>
          </cell>
          <cell r="B253" t="str">
            <v>MBO + LI</v>
          </cell>
          <cell r="C253" t="str">
            <v>PEOMMPI0200LVIVV1</v>
          </cell>
          <cell r="D253" t="str">
            <v>VENTANILLA Y MALACAS</v>
          </cell>
          <cell r="E253" t="str">
            <v>LIMPIEZA EXTERIOR DE TECHOS PCC</v>
          </cell>
          <cell r="F253" t="str">
            <v>LIMPIEZA EXTERIOR DE TECHOS PCC BIMENSUAL TG3, TG4</v>
          </cell>
          <cell r="G253" t="str">
            <v>MMPI0200</v>
          </cell>
          <cell r="H253" t="str">
            <v>NUM</v>
          </cell>
          <cell r="I253">
            <v>1</v>
          </cell>
          <cell r="J253">
            <v>3</v>
          </cell>
          <cell r="K253">
            <v>4</v>
          </cell>
          <cell r="L253">
            <v>12</v>
          </cell>
          <cell r="M253" t="str">
            <v>SI</v>
          </cell>
          <cell r="N253">
            <v>18</v>
          </cell>
          <cell r="O253">
            <v>0</v>
          </cell>
          <cell r="P253">
            <v>20</v>
          </cell>
          <cell r="Q253">
            <v>54</v>
          </cell>
          <cell r="R253">
            <v>0</v>
          </cell>
          <cell r="S253">
            <v>60</v>
          </cell>
          <cell r="T253">
            <v>330.47706588048277</v>
          </cell>
          <cell r="U253"/>
          <cell r="V253">
            <v>330.47706588048277</v>
          </cell>
          <cell r="W253">
            <v>17845.76155754607</v>
          </cell>
          <cell r="X253">
            <v>0</v>
          </cell>
          <cell r="Y253">
            <v>17845.76155754607</v>
          </cell>
          <cell r="Z253">
            <v>19828.623952828966</v>
          </cell>
          <cell r="AA253">
            <v>330.47706588048277</v>
          </cell>
          <cell r="AB253">
            <v>15.046665875740052</v>
          </cell>
          <cell r="AC253">
            <v>12</v>
          </cell>
          <cell r="AD253">
            <v>41.442025769583118</v>
          </cell>
          <cell r="AE253">
            <v>66.674666007073284</v>
          </cell>
          <cell r="AF253">
            <v>17.32060093713222</v>
          </cell>
          <cell r="AG253">
            <v>24.479782657813541</v>
          </cell>
          <cell r="AH253" t="str">
            <v>Limpieza</v>
          </cell>
          <cell r="AI253">
            <v>330.47706588048277</v>
          </cell>
          <cell r="AJ253">
            <v>12</v>
          </cell>
          <cell r="AK253">
            <v>27.539755490040232</v>
          </cell>
        </row>
        <row r="254">
          <cell r="A254" t="str">
            <v>C300</v>
          </cell>
          <cell r="B254" t="str">
            <v>COND</v>
          </cell>
          <cell r="C254" t="str">
            <v>WWOMMIM01061300300</v>
          </cell>
          <cell r="D254" t="str">
            <v>VENTANILLA, SANTA ROSA Y MALACAS</v>
          </cell>
          <cell r="E254" t="str">
            <v>LIMPIEZA PLACAS</v>
          </cell>
          <cell r="F254" t="str">
            <v>LIMPIEZA EXHAUSTIVA PLACAS CON ESTROPAJO DE DEPÓSITOS . SUSTITUIR JUNTAS INCLUYENDO LIMPIEZA DEL CANAL. SUMERGIR PLACAS EN ACEITE Y DEJAR DRENAR ANTES DEL MONTAJE. INSPECCIÓN VISUAL GENERAL</v>
          </cell>
          <cell r="G254" t="str">
            <v>MMIM0100</v>
          </cell>
          <cell r="H254" t="str">
            <v>NUM</v>
          </cell>
          <cell r="I254">
            <v>1</v>
          </cell>
          <cell r="J254">
            <v>12</v>
          </cell>
          <cell r="K254">
            <v>4</v>
          </cell>
          <cell r="L254">
            <v>48</v>
          </cell>
          <cell r="M254" t="str">
            <v>SI</v>
          </cell>
          <cell r="N254">
            <v>4</v>
          </cell>
          <cell r="O254">
            <v>3</v>
          </cell>
          <cell r="P254">
            <v>3</v>
          </cell>
          <cell r="Q254">
            <v>12</v>
          </cell>
          <cell r="R254">
            <v>9</v>
          </cell>
          <cell r="S254">
            <v>9</v>
          </cell>
          <cell r="T254">
            <v>2216.1969221379713</v>
          </cell>
          <cell r="U254">
            <v>2216.1969221379713</v>
          </cell>
          <cell r="V254">
            <v>2216.1969221379713</v>
          </cell>
          <cell r="W254">
            <v>26594.363065655656</v>
          </cell>
          <cell r="X254">
            <v>19945.77229924174</v>
          </cell>
          <cell r="Y254">
            <v>46540.135364897396</v>
          </cell>
          <cell r="Z254">
            <v>19945.77229924174</v>
          </cell>
          <cell r="AA254">
            <v>2216.1969221379713</v>
          </cell>
          <cell r="AB254">
            <v>21.911471765190715</v>
          </cell>
          <cell r="AC254">
            <v>48</v>
          </cell>
          <cell r="AD254">
            <v>338.89462538690691</v>
          </cell>
          <cell r="AE254">
            <v>545.2360385299653</v>
          </cell>
          <cell r="AF254">
            <v>116.1528785187616</v>
          </cell>
          <cell r="AG254">
            <v>164.16273497318306</v>
          </cell>
          <cell r="AH254" t="str">
            <v>Mecánica</v>
          </cell>
          <cell r="AI254">
            <v>2216.1969221379713</v>
          </cell>
          <cell r="AJ254">
            <v>48</v>
          </cell>
          <cell r="AK254">
            <v>46.170769211207734</v>
          </cell>
        </row>
        <row r="255">
          <cell r="A255" t="str">
            <v>P068</v>
          </cell>
          <cell r="B255" t="str">
            <v>PREV</v>
          </cell>
          <cell r="C255" t="str">
            <v>PEOMMIM0100MMLIM14</v>
          </cell>
          <cell r="D255" t="str">
            <v>VENTANILLA Y MALACAS</v>
          </cell>
          <cell r="E255" t="str">
            <v>LIMPIEZA DE RADIADOR MPR</v>
          </cell>
          <cell r="F255" t="str">
            <v>LIMPIEZA ESPECIAL DE RADIADOR CON UNIDAD FUERA DE SERVICIO. DESMONTAJE / MONTAJE DE BARANDAS ALEDAÑAS A RADIADOR. DESMONTAJE / MONTAJE DE 2 ELECTROVENTILADORES.  INCLUYE DESMONTAJE DE CONO Y MALLA DE PROTECCIÓN  DE VENTILADOR. ALINEAMIENTO Y REGISTRO DE PARÁMETROS DE OPERACIÓN DURANTE PUESTA EN SERVICIO. LIMPIEZA PREVIA MANUAL DE RADIADOR PARA RETIRO DE MATERIAL AGLOMERADO A SUPERFICIE DE INTERCAMBIO. LIMPIEZA MECÁNICA DE RADIADOR CON AGUA A PRESIÓN. NO INCLUYE MANIOBRA DE IZAJE NI ARMADO DE ANDAMIOS. MANEJO DE EFLUENTES, NORMALIZACION, ORDEN Y LIMPIEZA AL FINALIZAR LOS TRABAJOS.</v>
          </cell>
          <cell r="G255" t="str">
            <v>MMIM0100</v>
          </cell>
          <cell r="H255" t="str">
            <v>NUM</v>
          </cell>
          <cell r="I255">
            <v>1</v>
          </cell>
          <cell r="J255">
            <v>20</v>
          </cell>
          <cell r="K255">
            <v>4</v>
          </cell>
          <cell r="L255">
            <v>80</v>
          </cell>
          <cell r="M255" t="str">
            <v>SI</v>
          </cell>
          <cell r="N255">
            <v>8</v>
          </cell>
          <cell r="O255">
            <v>0</v>
          </cell>
          <cell r="P255">
            <v>6</v>
          </cell>
          <cell r="Q255">
            <v>24</v>
          </cell>
          <cell r="R255">
            <v>0</v>
          </cell>
          <cell r="S255">
            <v>18</v>
          </cell>
          <cell r="T255">
            <v>3473.6707656090448</v>
          </cell>
          <cell r="U255"/>
          <cell r="V255">
            <v>3473.6707656090448</v>
          </cell>
          <cell r="W255">
            <v>83368.098374617082</v>
          </cell>
          <cell r="X255">
            <v>0</v>
          </cell>
          <cell r="Y255">
            <v>83368.098374617082</v>
          </cell>
          <cell r="Z255">
            <v>62526.073780962804</v>
          </cell>
          <cell r="AA255">
            <v>3473.6707656090448</v>
          </cell>
          <cell r="AB255">
            <v>19.171538486527368</v>
          </cell>
          <cell r="AC255">
            <v>80</v>
          </cell>
          <cell r="AD255">
            <v>515.00792374456978</v>
          </cell>
          <cell r="AE255">
            <v>985.57260111472601</v>
          </cell>
          <cell r="AF255">
            <v>182.05821622688913</v>
          </cell>
          <cell r="AG255">
            <v>257.30894560066997</v>
          </cell>
          <cell r="AH255" t="str">
            <v>Mecánica</v>
          </cell>
          <cell r="AI255">
            <v>3473.6707656090448</v>
          </cell>
          <cell r="AJ255">
            <v>80</v>
          </cell>
          <cell r="AK255">
            <v>43.42088457011306</v>
          </cell>
        </row>
        <row r="256">
          <cell r="A256" t="str">
            <v>L061</v>
          </cell>
          <cell r="B256" t="str">
            <v>MBO + LI</v>
          </cell>
          <cell r="C256" t="str">
            <v>PEOMMPI02LV1MPV013</v>
          </cell>
          <cell r="D256" t="str">
            <v>VENTANILLA</v>
          </cell>
          <cell r="E256" t="str">
            <v>LIMPIEZA DE ACCESOS A POZOS  1,2,3,4 Y 5</v>
          </cell>
          <cell r="F256" t="str">
            <v>LIMPIEZA DE VIAS DE ACCESOS A POZOS  1,2,3,4 Y 5</v>
          </cell>
          <cell r="G256" t="str">
            <v>MMPI0200</v>
          </cell>
          <cell r="H256" t="str">
            <v>NUM</v>
          </cell>
          <cell r="I256">
            <v>2</v>
          </cell>
          <cell r="J256">
            <v>9</v>
          </cell>
          <cell r="K256">
            <v>5</v>
          </cell>
          <cell r="L256">
            <v>90</v>
          </cell>
          <cell r="M256" t="str">
            <v>SI</v>
          </cell>
          <cell r="N256">
            <v>1</v>
          </cell>
          <cell r="O256">
            <v>0</v>
          </cell>
          <cell r="P256">
            <v>0</v>
          </cell>
          <cell r="Q256">
            <v>3</v>
          </cell>
          <cell r="R256">
            <v>0</v>
          </cell>
          <cell r="S256">
            <v>0</v>
          </cell>
          <cell r="T256">
            <v>1957.4911999999965</v>
          </cell>
          <cell r="U256"/>
          <cell r="V256">
            <v>0</v>
          </cell>
          <cell r="W256">
            <v>5872.4735999999893</v>
          </cell>
          <cell r="X256">
            <v>0</v>
          </cell>
          <cell r="Y256">
            <v>5872.4735999999893</v>
          </cell>
          <cell r="Z256">
            <v>0</v>
          </cell>
          <cell r="AA256">
            <v>1957.4911999999965</v>
          </cell>
          <cell r="AB256">
            <v>15.04666587574005</v>
          </cell>
          <cell r="AC256">
            <v>64</v>
          </cell>
          <cell r="AD256">
            <v>286.29732571558566</v>
          </cell>
          <cell r="AE256">
            <v>460.6140316821913</v>
          </cell>
          <cell r="AF256">
            <v>102.59387840670841</v>
          </cell>
          <cell r="AG256">
            <v>144.9993481481479</v>
          </cell>
          <cell r="AH256" t="e">
            <v>#N/A</v>
          </cell>
          <cell r="AI256">
            <v>1957.4911999999965</v>
          </cell>
          <cell r="AJ256">
            <v>90</v>
          </cell>
          <cell r="AK256">
            <v>21.749902222222183</v>
          </cell>
        </row>
        <row r="257">
          <cell r="A257" t="str">
            <v>L063</v>
          </cell>
          <cell r="B257" t="str">
            <v>MBO + LI</v>
          </cell>
          <cell r="C257" t="str">
            <v>PEOMMPI02LV1MTPV14</v>
          </cell>
          <cell r="D257" t="str">
            <v>VENTANILLA</v>
          </cell>
          <cell r="E257" t="str">
            <v>LIMPIEZA DE TECHOS PCC</v>
          </cell>
          <cell r="F257" t="str">
            <v>LIMPIEZA DE TECHOS PCC 3 Y 4</v>
          </cell>
          <cell r="G257" t="str">
            <v>MMPI0200</v>
          </cell>
          <cell r="H257" t="str">
            <v>NUM</v>
          </cell>
          <cell r="I257">
            <v>1</v>
          </cell>
          <cell r="J257">
            <v>6</v>
          </cell>
          <cell r="K257">
            <v>3</v>
          </cell>
          <cell r="L257">
            <v>18</v>
          </cell>
          <cell r="M257" t="str">
            <v>NO</v>
          </cell>
          <cell r="N257">
            <v>12</v>
          </cell>
          <cell r="O257">
            <v>0</v>
          </cell>
          <cell r="P257">
            <v>0</v>
          </cell>
          <cell r="Q257">
            <v>36</v>
          </cell>
          <cell r="R257">
            <v>0</v>
          </cell>
          <cell r="S257">
            <v>0</v>
          </cell>
          <cell r="T257">
            <v>550.54440000000113</v>
          </cell>
          <cell r="U257"/>
          <cell r="V257">
            <v>0</v>
          </cell>
          <cell r="W257">
            <v>19819.598400000039</v>
          </cell>
          <cell r="X257">
            <v>0</v>
          </cell>
          <cell r="Y257">
            <v>19819.598400000039</v>
          </cell>
          <cell r="Z257">
            <v>0</v>
          </cell>
          <cell r="AA257">
            <v>550.54440000000113</v>
          </cell>
          <cell r="AB257">
            <v>15.04666587574005</v>
          </cell>
          <cell r="AC257">
            <v>18</v>
          </cell>
          <cell r="AD257">
            <v>80.521122857509184</v>
          </cell>
          <cell r="AE257">
            <v>129.54769641061748</v>
          </cell>
          <cell r="AF257">
            <v>28.854528301886848</v>
          </cell>
          <cell r="AG257">
            <v>40.781066666666746</v>
          </cell>
          <cell r="AH257" t="e">
            <v>#N/A</v>
          </cell>
          <cell r="AI257">
            <v>550.54440000000113</v>
          </cell>
          <cell r="AJ257">
            <v>18</v>
          </cell>
          <cell r="AK257">
            <v>30.585800000000063</v>
          </cell>
        </row>
        <row r="258">
          <cell r="A258" t="str">
            <v>L057</v>
          </cell>
          <cell r="B258" t="str">
            <v>MBO + LI</v>
          </cell>
          <cell r="C258" t="str">
            <v>PEOMMPI0200LVPSR05</v>
          </cell>
          <cell r="D258" t="str">
            <v>SANTA ROSA Y MALACAS</v>
          </cell>
          <cell r="E258" t="str">
            <v>LIMPIEZA PISOS EN ZONAS DE TRAFOS</v>
          </cell>
          <cell r="F258" t="str">
            <v>LIMPIEZA DE PISOS SEMANAL EN ZONAS DE TRAFOS UTI, WHS Y SMS</v>
          </cell>
          <cell r="G258" t="str">
            <v>MMPI0200</v>
          </cell>
          <cell r="H258" t="str">
            <v>NUM</v>
          </cell>
          <cell r="I258">
            <v>1</v>
          </cell>
          <cell r="J258">
            <v>2</v>
          </cell>
          <cell r="K258">
            <v>2</v>
          </cell>
          <cell r="L258">
            <v>4</v>
          </cell>
          <cell r="M258" t="str">
            <v>NO</v>
          </cell>
          <cell r="N258">
            <v>0</v>
          </cell>
          <cell r="O258">
            <v>52</v>
          </cell>
          <cell r="P258">
            <v>52</v>
          </cell>
          <cell r="Q258">
            <v>0</v>
          </cell>
          <cell r="R258">
            <v>156</v>
          </cell>
          <cell r="S258">
            <v>156</v>
          </cell>
          <cell r="T258"/>
          <cell r="U258">
            <v>91.757399999999961</v>
          </cell>
          <cell r="V258">
            <v>91.757399999999961</v>
          </cell>
          <cell r="W258">
            <v>0</v>
          </cell>
          <cell r="X258">
            <v>14314.154399999994</v>
          </cell>
          <cell r="Y258">
            <v>14314.154399999994</v>
          </cell>
          <cell r="Z258">
            <v>14314.154399999994</v>
          </cell>
          <cell r="AA258">
            <v>91.757399999999961</v>
          </cell>
          <cell r="AB258">
            <v>15.046665875740052</v>
          </cell>
          <cell r="AC258">
            <v>3</v>
          </cell>
          <cell r="AD258">
            <v>12.450332413179725</v>
          </cell>
          <cell r="AE258">
            <v>22.561137464841181</v>
          </cell>
          <cell r="AF258">
            <v>4.8090880503144637</v>
          </cell>
          <cell r="AG258">
            <v>6.7968444444444414</v>
          </cell>
          <cell r="AH258" t="e">
            <v>#N/A</v>
          </cell>
          <cell r="AI258">
            <v>91.757399999999961</v>
          </cell>
          <cell r="AJ258">
            <v>4</v>
          </cell>
          <cell r="AK258">
            <v>22.93934999999999</v>
          </cell>
        </row>
        <row r="259">
          <cell r="A259" t="str">
            <v>P066</v>
          </cell>
          <cell r="B259" t="str">
            <v>PREV</v>
          </cell>
          <cell r="C259" t="str">
            <v>PEOMMIM0100MMLIM07</v>
          </cell>
          <cell r="D259" t="str">
            <v>VENTANILLA Y MALACAS</v>
          </cell>
          <cell r="E259" t="str">
            <v>LIMPIEZA DE PASADIZOS DE CASA DE FILTROS</v>
          </cell>
          <cell r="F259" t="str">
            <v>LIMPIEZA DE PASADIZOS DE CASA DE FILTROS</v>
          </cell>
          <cell r="G259" t="str">
            <v>MMIM0100</v>
          </cell>
          <cell r="H259" t="str">
            <v>NUM</v>
          </cell>
          <cell r="I259">
            <v>1</v>
          </cell>
          <cell r="J259">
            <v>2</v>
          </cell>
          <cell r="K259">
            <v>2</v>
          </cell>
          <cell r="L259">
            <v>4</v>
          </cell>
          <cell r="M259" t="str">
            <v>NO</v>
          </cell>
          <cell r="N259">
            <v>24</v>
          </cell>
          <cell r="O259">
            <v>0</v>
          </cell>
          <cell r="P259">
            <v>7</v>
          </cell>
          <cell r="Q259">
            <v>72</v>
          </cell>
          <cell r="R259">
            <v>0</v>
          </cell>
          <cell r="S259">
            <v>21</v>
          </cell>
          <cell r="T259">
            <v>173.30385941358961</v>
          </cell>
          <cell r="U259"/>
          <cell r="V259">
            <v>173.30385941358961</v>
          </cell>
          <cell r="W259">
            <v>12477.877877778452</v>
          </cell>
          <cell r="X259">
            <v>0</v>
          </cell>
          <cell r="Y259">
            <v>12477.877877778452</v>
          </cell>
          <cell r="Z259">
            <v>3639.3810476853819</v>
          </cell>
          <cell r="AA259">
            <v>173.30385941358961</v>
          </cell>
          <cell r="AB259">
            <v>19.171538486527368</v>
          </cell>
          <cell r="AC259">
            <v>4</v>
          </cell>
          <cell r="AD259">
            <v>25.636570204298263</v>
          </cell>
          <cell r="AE259">
            <v>49.060800843992709</v>
          </cell>
          <cell r="AF259">
            <v>9.0830114996640248</v>
          </cell>
          <cell r="AG259">
            <v>12.837322919525157</v>
          </cell>
          <cell r="AH259" t="str">
            <v>Mecánica</v>
          </cell>
          <cell r="AI259">
            <v>173.30385941358961</v>
          </cell>
          <cell r="AJ259">
            <v>4</v>
          </cell>
          <cell r="AK259">
            <v>43.325964853397402</v>
          </cell>
        </row>
        <row r="260">
          <cell r="A260" t="str">
            <v>L018</v>
          </cell>
          <cell r="B260" t="str">
            <v>MBO + LI</v>
          </cell>
          <cell r="C260" t="str">
            <v>PEOMMPI0200LV1AV2</v>
          </cell>
          <cell r="D260" t="str">
            <v>VENTANILLA Y MALACAS</v>
          </cell>
          <cell r="E260" t="str">
            <v>LIMPIEZA DE CASETA - EXTERNA</v>
          </cell>
          <cell r="F260" t="str">
            <v xml:space="preserve">LIMPIEZA DE CASETA - EXTERNA ANUAL: CASA DE FILTROS TG3, TG4 </v>
          </cell>
          <cell r="G260" t="str">
            <v>MMPI0200</v>
          </cell>
          <cell r="H260" t="str">
            <v>NUM</v>
          </cell>
          <cell r="I260">
            <v>2</v>
          </cell>
          <cell r="J260">
            <v>9</v>
          </cell>
          <cell r="K260">
            <v>4</v>
          </cell>
          <cell r="L260">
            <v>72</v>
          </cell>
          <cell r="M260" t="str">
            <v>NO</v>
          </cell>
          <cell r="N260">
            <v>2</v>
          </cell>
          <cell r="O260">
            <v>0</v>
          </cell>
          <cell r="P260">
            <v>1</v>
          </cell>
          <cell r="Q260">
            <v>6</v>
          </cell>
          <cell r="R260">
            <v>0</v>
          </cell>
          <cell r="S260">
            <v>3</v>
          </cell>
          <cell r="T260">
            <v>1982.8623952828978</v>
          </cell>
          <cell r="U260"/>
          <cell r="V260">
            <v>1982.8623952828978</v>
          </cell>
          <cell r="W260">
            <v>11897.174371697387</v>
          </cell>
          <cell r="X260">
            <v>0</v>
          </cell>
          <cell r="Y260">
            <v>11897.174371697387</v>
          </cell>
          <cell r="Z260">
            <v>5948.5871858486935</v>
          </cell>
          <cell r="AA260">
            <v>1982.8623952828978</v>
          </cell>
          <cell r="AB260">
            <v>15.04666587574005</v>
          </cell>
          <cell r="AC260">
            <v>72</v>
          </cell>
          <cell r="AD260">
            <v>248.65215461749912</v>
          </cell>
          <cell r="AE260">
            <v>400.04799604244039</v>
          </cell>
          <cell r="AF260">
            <v>103.92360562279337</v>
          </cell>
          <cell r="AG260">
            <v>146.87869594688132</v>
          </cell>
          <cell r="AH260" t="str">
            <v>Limpieza</v>
          </cell>
          <cell r="AI260">
            <v>1982.8623952828978</v>
          </cell>
          <cell r="AJ260">
            <v>72</v>
          </cell>
          <cell r="AK260">
            <v>27.539755490040246</v>
          </cell>
        </row>
        <row r="261">
          <cell r="A261" t="str">
            <v>L062</v>
          </cell>
          <cell r="B261" t="str">
            <v>MBO + LI</v>
          </cell>
          <cell r="C261" t="str">
            <v>PEOMMPI02LV1MPV014</v>
          </cell>
          <cell r="D261" t="str">
            <v>VENTANILLA</v>
          </cell>
          <cell r="E261" t="str">
            <v>LIMPIEZA DE CAMARA 2 DE VERT MARINO</v>
          </cell>
          <cell r="F261" t="str">
            <v>LIMPIEZA DE CAMARA 2 DE VERTIMIENTO MARINO</v>
          </cell>
          <cell r="G261" t="str">
            <v>MMPI0200</v>
          </cell>
          <cell r="H261" t="str">
            <v>NUM</v>
          </cell>
          <cell r="I261">
            <v>1</v>
          </cell>
          <cell r="J261">
            <v>4</v>
          </cell>
          <cell r="K261">
            <v>2</v>
          </cell>
          <cell r="L261">
            <v>8</v>
          </cell>
          <cell r="M261" t="str">
            <v>SI</v>
          </cell>
          <cell r="N261">
            <v>4</v>
          </cell>
          <cell r="O261">
            <v>0</v>
          </cell>
          <cell r="P261">
            <v>0</v>
          </cell>
          <cell r="Q261">
            <v>12</v>
          </cell>
          <cell r="R261">
            <v>0</v>
          </cell>
          <cell r="S261">
            <v>0</v>
          </cell>
          <cell r="T261">
            <v>244.68640000000011</v>
          </cell>
          <cell r="U261"/>
          <cell r="V261">
            <v>0</v>
          </cell>
          <cell r="W261">
            <v>2936.2368000000015</v>
          </cell>
          <cell r="X261">
            <v>0</v>
          </cell>
          <cell r="Y261">
            <v>2936.2368000000015</v>
          </cell>
          <cell r="Z261">
            <v>0</v>
          </cell>
          <cell r="AA261">
            <v>244.68640000000011</v>
          </cell>
          <cell r="AB261">
            <v>15.04666587574005</v>
          </cell>
          <cell r="AC261">
            <v>8</v>
          </cell>
          <cell r="AD261">
            <v>35.787165714448399</v>
          </cell>
          <cell r="AE261">
            <v>57.576753960274218</v>
          </cell>
          <cell r="AF261">
            <v>12.82423480083858</v>
          </cell>
          <cell r="AG261">
            <v>18.124918518518527</v>
          </cell>
          <cell r="AH261" t="e">
            <v>#N/A</v>
          </cell>
          <cell r="AI261">
            <v>244.68640000000011</v>
          </cell>
          <cell r="AJ261">
            <v>8</v>
          </cell>
          <cell r="AK261">
            <v>30.585800000000013</v>
          </cell>
        </row>
        <row r="262">
          <cell r="A262" t="str">
            <v>C339</v>
          </cell>
          <cell r="B262" t="str">
            <v>COND</v>
          </cell>
          <cell r="C262" t="str">
            <v>PEOLEII09MELIMP001</v>
          </cell>
          <cell r="D262" t="str">
            <v>VENTANILLA</v>
          </cell>
          <cell r="E262" t="str">
            <v>LIMPIEZA UNIDAD CONDENSADORA A/A</v>
          </cell>
          <cell r="F262" t="str">
            <v>LIMPIEZA CON ESCOBA UNIDAD CONDENSADORA A/A</v>
          </cell>
          <cell r="G262" t="str">
            <v>LEII0900</v>
          </cell>
          <cell r="H262" t="str">
            <v>NUM</v>
          </cell>
          <cell r="I262">
            <v>1</v>
          </cell>
          <cell r="J262">
            <v>0.5</v>
          </cell>
          <cell r="K262">
            <v>2</v>
          </cell>
          <cell r="L262">
            <v>1</v>
          </cell>
          <cell r="M262" t="str">
            <v>NO</v>
          </cell>
          <cell r="N262">
            <v>12</v>
          </cell>
          <cell r="O262">
            <v>0</v>
          </cell>
          <cell r="P262">
            <v>0</v>
          </cell>
          <cell r="Q262">
            <v>36</v>
          </cell>
          <cell r="R262">
            <v>0</v>
          </cell>
          <cell r="S262">
            <v>0</v>
          </cell>
          <cell r="T262">
            <v>43.007065729845863</v>
          </cell>
          <cell r="U262"/>
          <cell r="V262">
            <v>0</v>
          </cell>
          <cell r="W262">
            <v>1548.2543662744511</v>
          </cell>
          <cell r="X262">
            <v>0</v>
          </cell>
          <cell r="Y262">
            <v>1548.2543662744511</v>
          </cell>
          <cell r="Z262">
            <v>0</v>
          </cell>
          <cell r="AA262">
            <v>43.007065729845863</v>
          </cell>
          <cell r="AB262">
            <v>19.171538486527368</v>
          </cell>
          <cell r="AC262">
            <v>1</v>
          </cell>
          <cell r="AD262">
            <v>7.0512550758074815</v>
          </cell>
          <cell r="AE262">
            <v>11.344524510556361</v>
          </cell>
          <cell r="AF262">
            <v>2.2540390843734728</v>
          </cell>
          <cell r="AG262">
            <v>3.1857085725811749</v>
          </cell>
          <cell r="AH262" t="e">
            <v>#N/A</v>
          </cell>
          <cell r="AI262">
            <v>43.007065729845863</v>
          </cell>
          <cell r="AJ262">
            <v>1</v>
          </cell>
          <cell r="AK262">
            <v>43.007065729845863</v>
          </cell>
        </row>
        <row r="263">
          <cell r="A263" t="str">
            <v>P109</v>
          </cell>
          <cell r="B263" t="str">
            <v>PREV</v>
          </cell>
          <cell r="C263" t="str">
            <v>PEOMMIM01MMLIMP001</v>
          </cell>
          <cell r="D263" t="str">
            <v>VENTANILLA</v>
          </cell>
          <cell r="E263" t="str">
            <v>Limpieza contenedor BESS</v>
          </cell>
          <cell r="F263" t="str">
            <v>Limpieza con escoba en exteriores de contenedor.</v>
          </cell>
          <cell r="G263" t="str">
            <v>MMIM01</v>
          </cell>
          <cell r="H263" t="str">
            <v>NUM</v>
          </cell>
          <cell r="I263">
            <v>1</v>
          </cell>
          <cell r="J263">
            <v>2</v>
          </cell>
          <cell r="K263">
            <v>2</v>
          </cell>
          <cell r="L263">
            <v>4</v>
          </cell>
          <cell r="M263" t="str">
            <v>NO</v>
          </cell>
          <cell r="N263">
            <v>4</v>
          </cell>
          <cell r="O263">
            <v>0</v>
          </cell>
          <cell r="P263">
            <v>0</v>
          </cell>
          <cell r="Q263">
            <v>12</v>
          </cell>
          <cell r="R263">
            <v>0</v>
          </cell>
          <cell r="S263">
            <v>0</v>
          </cell>
          <cell r="T263">
            <v>190.30606894255394</v>
          </cell>
          <cell r="U263"/>
          <cell r="V263">
            <v>0</v>
          </cell>
          <cell r="W263">
            <v>2283.6728273106473</v>
          </cell>
          <cell r="X263">
            <v>0</v>
          </cell>
          <cell r="Y263">
            <v>2283.6728273106473</v>
          </cell>
          <cell r="Z263">
            <v>0</v>
          </cell>
          <cell r="AA263">
            <v>190.30606894255394</v>
          </cell>
          <cell r="AB263">
            <v>23.057832511738386</v>
          </cell>
          <cell r="AC263">
            <v>4</v>
          </cell>
          <cell r="AD263">
            <v>28.366301900447482</v>
          </cell>
          <cell r="AE263">
            <v>45.637578519539865</v>
          </cell>
          <cell r="AF263">
            <v>9.9741126280164529</v>
          </cell>
          <cell r="AG263">
            <v>14.096745847596587</v>
          </cell>
          <cell r="AH263" t="str">
            <v>Mecánica</v>
          </cell>
          <cell r="AI263">
            <v>190.30606894255394</v>
          </cell>
          <cell r="AJ263">
            <v>4</v>
          </cell>
          <cell r="AK263">
            <v>47.576517235638484</v>
          </cell>
        </row>
        <row r="264">
          <cell r="A264" t="str">
            <v>P009</v>
          </cell>
          <cell r="B264" t="str">
            <v>PREV</v>
          </cell>
          <cell r="C264" t="str">
            <v>PEOLEII0900MEGEM02</v>
          </cell>
          <cell r="D264" t="str">
            <v>VENTANILLA Y SANTA ROSA</v>
          </cell>
          <cell r="E264" t="str">
            <v>PRUEBAS ELECTRICAS GRUPO DE EMERGENCIA</v>
          </cell>
          <cell r="F264" t="str">
            <v>LIMPIEZA BOBINADO, MEDIDA DE RESITENCIA DE AISLAMIENTO Y RESISTENCIA DE BOBINADO DEL ALTERNADOR Y CALEFACCION, LIMPIEZA FILTROS DE AIRE</v>
          </cell>
          <cell r="G264" t="str">
            <v>LEII0900</v>
          </cell>
          <cell r="H264" t="str">
            <v>NUM</v>
          </cell>
          <cell r="I264">
            <v>1</v>
          </cell>
          <cell r="J264">
            <v>4</v>
          </cell>
          <cell r="K264">
            <v>2</v>
          </cell>
          <cell r="L264">
            <v>8</v>
          </cell>
          <cell r="M264" t="str">
            <v>NO</v>
          </cell>
          <cell r="N264">
            <v>2</v>
          </cell>
          <cell r="O264">
            <v>1</v>
          </cell>
          <cell r="P264">
            <v>0</v>
          </cell>
          <cell r="Q264">
            <v>6</v>
          </cell>
          <cell r="R264">
            <v>3</v>
          </cell>
          <cell r="S264">
            <v>0</v>
          </cell>
          <cell r="T264">
            <v>416.82634691819806</v>
          </cell>
          <cell r="U264">
            <v>416.82634691819806</v>
          </cell>
          <cell r="V264">
            <v>0</v>
          </cell>
          <cell r="W264">
            <v>2500.9580815091886</v>
          </cell>
          <cell r="X264">
            <v>1250.4790407545943</v>
          </cell>
          <cell r="Y264">
            <v>3751.4371222637828</v>
          </cell>
          <cell r="Z264">
            <v>0</v>
          </cell>
          <cell r="AA264">
            <v>416.82634691819806</v>
          </cell>
          <cell r="AB264">
            <v>25.459519838125551</v>
          </cell>
          <cell r="AC264">
            <v>8</v>
          </cell>
          <cell r="AD264">
            <v>57.049330216475418</v>
          </cell>
          <cell r="AE264">
            <v>103.37858770168405</v>
          </cell>
          <cell r="AF264">
            <v>21.846244597389834</v>
          </cell>
          <cell r="AG264">
            <v>30.876025697644302</v>
          </cell>
          <cell r="AH264" t="str">
            <v>Electricidad</v>
          </cell>
          <cell r="AI264">
            <v>416.82634691819806</v>
          </cell>
          <cell r="AJ264">
            <v>8</v>
          </cell>
          <cell r="AK264">
            <v>52.103293364774757</v>
          </cell>
        </row>
        <row r="265">
          <cell r="A265" t="str">
            <v>C215</v>
          </cell>
          <cell r="B265" t="str">
            <v>COND</v>
          </cell>
          <cell r="C265" t="str">
            <v>WWOMMIM01060300200</v>
          </cell>
          <cell r="D265" t="str">
            <v>VENTANILLA, SANTA ROSA Y MALACAS</v>
          </cell>
          <cell r="E265" t="str">
            <v>CONTROL Y ALIN JUNTAS MAQUINAS MT</v>
          </cell>
          <cell r="F265" t="str">
            <v xml:space="preserve">LIMPIEZA AREA TRAB; DESM CARTER PROTEC; DESM TAPA /PART EXT JUNTAS MOT/REDUCT Y REDUCT/MAQUINA, VERIF JUNTAS EVENT SUST TACOS DE GOMA (JUNTAS FLEXIBLES), ENGRAS Y/O SUST ACEITE JUNTAS A DIENTES, SUST LAMINAS (JUNTAS A LAMINAS), VERIF ACEITE Y TAPON FUSIBLE JUNTAS HIDRAUL, (REPUESTOS POR ENEL)
REMONT TAPAS/PARTES EXT JUNTAS RELEV VALORES ALINE AXIAL (2 COMPARAD) Y RAD (1 COMPAR), SUMIN SOPORTE FIJAC COMPARAD
REMONT CARTER PROTEC LIMP AREA TRAB ASIST PRUEBAS FUNCIÓN </v>
          </cell>
          <cell r="G265" t="str">
            <v>MMIM0100</v>
          </cell>
          <cell r="H265" t="str">
            <v>NUM</v>
          </cell>
          <cell r="I265">
            <v>1</v>
          </cell>
          <cell r="J265">
            <v>7</v>
          </cell>
          <cell r="K265">
            <v>2</v>
          </cell>
          <cell r="L265">
            <v>14</v>
          </cell>
          <cell r="M265" t="str">
            <v>NO</v>
          </cell>
          <cell r="N265">
            <v>4</v>
          </cell>
          <cell r="O265">
            <v>3</v>
          </cell>
          <cell r="P265">
            <v>3</v>
          </cell>
          <cell r="Q265">
            <v>12</v>
          </cell>
          <cell r="R265">
            <v>9</v>
          </cell>
          <cell r="S265">
            <v>9</v>
          </cell>
          <cell r="T265">
            <v>628.9176731843263</v>
          </cell>
          <cell r="U265">
            <v>628.9176731843263</v>
          </cell>
          <cell r="V265">
            <v>628.9176731843263</v>
          </cell>
          <cell r="W265">
            <v>7547.0120782119157</v>
          </cell>
          <cell r="X265">
            <v>5660.2590586589367</v>
          </cell>
          <cell r="Y265">
            <v>13207.271136870851</v>
          </cell>
          <cell r="Z265">
            <v>5660.2590586589367</v>
          </cell>
          <cell r="AA265">
            <v>628.9176731843263</v>
          </cell>
          <cell r="AB265">
            <v>20.776439546856693</v>
          </cell>
          <cell r="AC265">
            <v>14</v>
          </cell>
          <cell r="AD265">
            <v>99.084768460804582</v>
          </cell>
          <cell r="AE265">
            <v>159.41411455714154</v>
          </cell>
          <cell r="AF265">
            <v>32.962142200436389</v>
          </cell>
          <cell r="AG265">
            <v>46.586494309950098</v>
          </cell>
          <cell r="AH265" t="str">
            <v>Mecánica</v>
          </cell>
          <cell r="AI265">
            <v>628.9176731843263</v>
          </cell>
          <cell r="AJ265">
            <v>14</v>
          </cell>
          <cell r="AK265">
            <v>44.922690941737592</v>
          </cell>
        </row>
        <row r="266">
          <cell r="A266" t="str">
            <v>C214</v>
          </cell>
          <cell r="B266" t="str">
            <v>COND</v>
          </cell>
          <cell r="C266" t="str">
            <v>WWOMMIM01060300100</v>
          </cell>
          <cell r="D266" t="str">
            <v>VENTANILLA, SANTA ROSA Y MALACAS</v>
          </cell>
          <cell r="E266" t="str">
            <v>CONTROL Y ALIN JUNTAS MAQUINAS BT</v>
          </cell>
          <cell r="F266" t="str">
            <v>LIMPIEZA AREA TRAB; DESM CARTER PROTEC; DESM TAPA /PART EXT JUNTAS MOT/REDUCT Y REDUCT/MAQUINA, VERIF JUNTAS EVENT SUST TACOS DE GOMA (JUNTAS FLEXIBLES), ENGRAS Y/O SUST ACEITE JUNTAS A DIENTES, SUST LAMINAS (JUNATS A LAMINAS), VERIF ACEITE Y TAPON FUSIBLE JUNTAS HIDRAUL, (REPUESTOS POR ENEL) REMONT TAPAS/PARTES EXT JUNTAS; RELEV VALORES ALINE AXIAL (2 COMPARAD) Y RAD (1 COMPAR), SUMIN SOPORTE FIJAC COMPARAD REMONT CARTER PROTEC
LIMP AREA TRAB ASIST PRUEBAS FUNCIÓN.</v>
          </cell>
          <cell r="G266" t="str">
            <v>MMIM0100</v>
          </cell>
          <cell r="H266" t="str">
            <v>NUM</v>
          </cell>
          <cell r="I266">
            <v>1</v>
          </cell>
          <cell r="J266">
            <v>5</v>
          </cell>
          <cell r="K266">
            <v>2</v>
          </cell>
          <cell r="L266">
            <v>10</v>
          </cell>
          <cell r="M266" t="str">
            <v>NO</v>
          </cell>
          <cell r="N266">
            <v>4</v>
          </cell>
          <cell r="O266">
            <v>3</v>
          </cell>
          <cell r="P266">
            <v>3</v>
          </cell>
          <cell r="Q266">
            <v>12</v>
          </cell>
          <cell r="R266">
            <v>9</v>
          </cell>
          <cell r="S266">
            <v>9</v>
          </cell>
          <cell r="T266">
            <v>428.17579415332472</v>
          </cell>
          <cell r="U266">
            <v>428.17579415332472</v>
          </cell>
          <cell r="V266">
            <v>428.17579415332472</v>
          </cell>
          <cell r="W266">
            <v>5138.1095298398968</v>
          </cell>
          <cell r="X266">
            <v>3853.5821473799224</v>
          </cell>
          <cell r="Y266">
            <v>8991.6916772198201</v>
          </cell>
          <cell r="Z266">
            <v>3853.5821473799224</v>
          </cell>
          <cell r="AA266">
            <v>428.17579415332472</v>
          </cell>
          <cell r="AB266">
            <v>19.171538486527368</v>
          </cell>
          <cell r="AC266">
            <v>10</v>
          </cell>
          <cell r="AD266">
            <v>69.878102139400085</v>
          </cell>
          <cell r="AE266">
            <v>112.42450229767138</v>
          </cell>
          <cell r="AF266">
            <v>22.441079358140708</v>
          </cell>
          <cell r="AG266">
            <v>31.716725492838869</v>
          </cell>
          <cell r="AH266" t="str">
            <v>Mecánica</v>
          </cell>
          <cell r="AI266">
            <v>428.17579415332472</v>
          </cell>
          <cell r="AJ266">
            <v>10</v>
          </cell>
          <cell r="AK266">
            <v>42.817579415332474</v>
          </cell>
        </row>
        <row r="267">
          <cell r="A267" t="str">
            <v>C364</v>
          </cell>
          <cell r="B267" t="str">
            <v>COND</v>
          </cell>
          <cell r="C267" t="str">
            <v>PEOMMIM01MMTRAS001</v>
          </cell>
          <cell r="D267" t="str">
            <v>VENTANILLA</v>
          </cell>
          <cell r="E267" t="str">
            <v>TRASIEGO DE AMONIACO PARA CALDERA</v>
          </cell>
          <cell r="F267" t="str">
            <v>Lavado con agua demi de bomba y mangueras- movimiento de 03 cilindros de amoniaco- traslado de cilindros- limpieza general</v>
          </cell>
          <cell r="G267" t="str">
            <v>MMIM0100</v>
          </cell>
          <cell r="H267" t="str">
            <v>NUM</v>
          </cell>
          <cell r="I267">
            <v>1</v>
          </cell>
          <cell r="J267">
            <v>2</v>
          </cell>
          <cell r="K267">
            <v>2</v>
          </cell>
          <cell r="L267">
            <v>4</v>
          </cell>
          <cell r="M267" t="str">
            <v>NO</v>
          </cell>
          <cell r="N267">
            <v>24</v>
          </cell>
          <cell r="O267">
            <v>0</v>
          </cell>
          <cell r="P267">
            <v>0</v>
          </cell>
          <cell r="Q267">
            <v>72</v>
          </cell>
          <cell r="R267">
            <v>0</v>
          </cell>
          <cell r="S267">
            <v>0</v>
          </cell>
          <cell r="T267">
            <v>172.02826291938351</v>
          </cell>
          <cell r="U267"/>
          <cell r="V267">
            <v>0</v>
          </cell>
          <cell r="W267">
            <v>12386.034930195612</v>
          </cell>
          <cell r="X267">
            <v>0</v>
          </cell>
          <cell r="Y267">
            <v>12386.034930195612</v>
          </cell>
          <cell r="Z267">
            <v>0</v>
          </cell>
          <cell r="AA267">
            <v>172.02826291938351</v>
          </cell>
          <cell r="AB267">
            <v>19.171538486527368</v>
          </cell>
          <cell r="AC267">
            <v>4</v>
          </cell>
          <cell r="AD267">
            <v>28.205020303229947</v>
          </cell>
          <cell r="AE267">
            <v>45.378098042225481</v>
          </cell>
          <cell r="AF267">
            <v>9.0161563374938947</v>
          </cell>
          <cell r="AG267">
            <v>12.742834290324705</v>
          </cell>
          <cell r="AH267" t="e">
            <v>#N/A</v>
          </cell>
          <cell r="AI267">
            <v>172.02826291938351</v>
          </cell>
          <cell r="AJ267">
            <v>4</v>
          </cell>
          <cell r="AK267">
            <v>43.007065729845877</v>
          </cell>
        </row>
        <row r="268">
          <cell r="A268" t="str">
            <v>C190</v>
          </cell>
          <cell r="B268" t="str">
            <v>COND</v>
          </cell>
          <cell r="C268" t="str">
            <v>WWOMMIM01060201200</v>
          </cell>
          <cell r="D268" t="str">
            <v>VENTANILLA, SANTA ROSA Y MALACAS</v>
          </cell>
          <cell r="E268" t="str">
            <v>BOMBA CENTRIFUGA &gt;10KWY&lt; 50KW: REVISIÓN</v>
          </cell>
          <cell r="F268" t="str">
            <v>LA REVISIÓN COMPLETA DE LA BOMBA INCLUYE DESMONTAJE CARCASA DE LA BOMBA, DESMONTAJE ACOPLAMIENTO Y PROTECCIÓN, DESMONTAJE SEMIJUNTAS, DESMONTAJE SELLO, EXTRACCIÓN COMPLETA DEL EJE E IMPULSOR, DESMONTAJE COJINETES DE LOS SOPORTES Y DESMONTAJE COMPONENTES RESTANTES, LIMPIEZA, SUSTITUCIÓN DE LOS ANILLOS DE DESGASTE DEL IMPULSOR Y DEL CUERPO Y/O SUSTITUCIÓN DEL PROPIO ROTOR. SUSTITUCIÓN PIEZAS DESGASTADAS, COJINETES, ANILLOS ELÁSTICOS, ANILLOS DE SELLO, JUNTAS, REPOSICIÓN DE ACEITE LUBRICANTE.</v>
          </cell>
          <cell r="G268" t="str">
            <v>MMIM0100</v>
          </cell>
          <cell r="H268" t="str">
            <v>NUM</v>
          </cell>
          <cell r="I268">
            <v>1</v>
          </cell>
          <cell r="J268">
            <v>12</v>
          </cell>
          <cell r="K268">
            <v>2</v>
          </cell>
          <cell r="L268">
            <v>24</v>
          </cell>
          <cell r="M268" t="str">
            <v>NO</v>
          </cell>
          <cell r="N268">
            <v>4</v>
          </cell>
          <cell r="O268">
            <v>3</v>
          </cell>
          <cell r="P268">
            <v>3</v>
          </cell>
          <cell r="Q268">
            <v>12</v>
          </cell>
          <cell r="R268">
            <v>9</v>
          </cell>
          <cell r="S268">
            <v>9</v>
          </cell>
          <cell r="T268">
            <v>1078.1445826017023</v>
          </cell>
          <cell r="U268">
            <v>1078.1445826017023</v>
          </cell>
          <cell r="V268">
            <v>1078.1445826017023</v>
          </cell>
          <cell r="W268">
            <v>12937.734991220426</v>
          </cell>
          <cell r="X268">
            <v>9703.3012434153206</v>
          </cell>
          <cell r="Y268">
            <v>22641.036234635747</v>
          </cell>
          <cell r="Z268">
            <v>9703.3012434153206</v>
          </cell>
          <cell r="AA268">
            <v>1078.1445826017023</v>
          </cell>
          <cell r="AB268">
            <v>20.776439546856693</v>
          </cell>
          <cell r="AC268">
            <v>24</v>
          </cell>
          <cell r="AD268">
            <v>169.85960307566506</v>
          </cell>
          <cell r="AE268">
            <v>273.28133924081413</v>
          </cell>
          <cell r="AF268">
            <v>56.506529486462384</v>
          </cell>
          <cell r="AG268">
            <v>79.862561674200165</v>
          </cell>
          <cell r="AH268" t="str">
            <v>Mecánica</v>
          </cell>
          <cell r="AI268">
            <v>1078.1445826017023</v>
          </cell>
          <cell r="AJ268">
            <v>24</v>
          </cell>
          <cell r="AK268">
            <v>44.922690941737592</v>
          </cell>
        </row>
        <row r="269">
          <cell r="A269" t="str">
            <v>C191</v>
          </cell>
          <cell r="B269" t="str">
            <v>COND</v>
          </cell>
          <cell r="C269" t="str">
            <v>WWOMMIM01060202400</v>
          </cell>
          <cell r="D269" t="str">
            <v>VENTANILLA, SANTA ROSA Y MALACAS</v>
          </cell>
          <cell r="E269" t="str">
            <v>BOMBA CENTRÍFUGA &gt;130&lt;250 KW: REVISIÓN</v>
          </cell>
          <cell r="F269" t="str">
            <v>LA REVISIÓN COMPLETA DE LA BOMBA INCLUYE DESMONTAJE CARCASA DE LA BOMBA, DESMONTAJE ACOPLAMIENTO Y PROTECCIÓN, DESMONTAJE SEMIJUNTAS, DESMONTAJE SELLO, EXTRACCIÓN COMPLETA DEL EJE E IMPULSOR, DESMONTAJE COJINETES DE LOS SOPORTES Y DESMONTAJE COMPONENTES RESTANTES, LIMPIEZA, SUSTITUCIÓN DE LOS ANILLOS DE DESGASTE DEL IMPULSOR Y DEL CUERPO Y/O SUSTITUCIÓN DEL PROPIO ROTOR. SUSTITUCIÓN PIEZAS DESGASTADAS, COJINETES, ANILLOS ELÁSTICOS, ANILLOS DE SELLO, JUNTAS, REPOSICIÓN DE ACEITE LUBRICANTE.</v>
          </cell>
          <cell r="G269" t="str">
            <v>MMIM0100</v>
          </cell>
          <cell r="H269" t="str">
            <v>NUM</v>
          </cell>
          <cell r="I269">
            <v>1</v>
          </cell>
          <cell r="J269">
            <v>40</v>
          </cell>
          <cell r="K269">
            <v>3</v>
          </cell>
          <cell r="L269">
            <v>120</v>
          </cell>
          <cell r="M269" t="str">
            <v>SI</v>
          </cell>
          <cell r="N269">
            <v>4</v>
          </cell>
          <cell r="O269">
            <v>3</v>
          </cell>
          <cell r="P269">
            <v>3</v>
          </cell>
          <cell r="Q269">
            <v>12</v>
          </cell>
          <cell r="R269">
            <v>9</v>
          </cell>
          <cell r="S269">
            <v>9</v>
          </cell>
          <cell r="T269">
            <v>5490.5691745661225</v>
          </cell>
          <cell r="U269">
            <v>5490.5691745661225</v>
          </cell>
          <cell r="V269">
            <v>5490.5691745661225</v>
          </cell>
          <cell r="W269">
            <v>65886.830094793462</v>
          </cell>
          <cell r="X269">
            <v>49415.122571095104</v>
          </cell>
          <cell r="Y269">
            <v>115301.95266588856</v>
          </cell>
          <cell r="Z269">
            <v>49415.122571095104</v>
          </cell>
          <cell r="AA269">
            <v>5490.5691745661225</v>
          </cell>
          <cell r="AB269">
            <v>21.533127692412712</v>
          </cell>
          <cell r="AC269">
            <v>120</v>
          </cell>
          <cell r="AD269">
            <v>847.92371410428609</v>
          </cell>
          <cell r="AE269">
            <v>1364.1956296179649</v>
          </cell>
          <cell r="AF269">
            <v>287.76568000870657</v>
          </cell>
          <cell r="AG269">
            <v>406.7088277456387</v>
          </cell>
          <cell r="AH269" t="str">
            <v>Mecánica</v>
          </cell>
          <cell r="AI269">
            <v>5490.5691745661225</v>
          </cell>
          <cell r="AJ269">
            <v>120</v>
          </cell>
          <cell r="AK269">
            <v>45.754743121384351</v>
          </cell>
        </row>
        <row r="270">
          <cell r="A270" t="str">
            <v>C192</v>
          </cell>
          <cell r="B270" t="str">
            <v>COND</v>
          </cell>
          <cell r="C270" t="str">
            <v>WWOMMIM01060203000</v>
          </cell>
          <cell r="D270" t="str">
            <v>VENTANILLA, SANTA ROSA Y MALACAS</v>
          </cell>
          <cell r="E270" t="str">
            <v>BOMBA CENTRÍFUGA &gt;250 KW: REVISIÓN</v>
          </cell>
          <cell r="F270" t="str">
            <v>LA REVISIÓN COMPLETA DE LA BOMBA INCLUYE DESMONTAJE CARCASA DE LA BOMBA, DESMONTAJE ACOPLAMIENTO Y PROTECCIÓN, DESMONTAJE SEMIJUNTAS, DESMONTAJE SELLO, EXTRACCIÓN COMPLETA DEL EJE E IMPULSOR, DESMONTAJE COJINETES DE LOS SOPORTES Y DESMONTAJE COMPONENTES RESTANTES, LIMPIEZA, SUSTITUCIÓN DE LOS ANILLOS DE DESGASTE DEL IMPULSOR Y DEL CUERPO Y/O SUSTITUCIÓN DEL PROPIO ROTOR. SUSTITUCIÓN PIEZAS DESGASTADAS, COJINETES, ANILLOS ELÁSTICOS, ANILLOS DE SELLO, JUNTAS, REPOSICIÓN DE ACEITE LUBRICANTE.</v>
          </cell>
          <cell r="G270" t="str">
            <v>MMIM0100</v>
          </cell>
          <cell r="H270" t="str">
            <v>NUM</v>
          </cell>
          <cell r="I270">
            <v>1</v>
          </cell>
          <cell r="J270">
            <v>40</v>
          </cell>
          <cell r="K270">
            <v>4</v>
          </cell>
          <cell r="L270">
            <v>160</v>
          </cell>
          <cell r="M270" t="str">
            <v>SI</v>
          </cell>
          <cell r="N270">
            <v>4</v>
          </cell>
          <cell r="O270">
            <v>3</v>
          </cell>
          <cell r="P270">
            <v>3</v>
          </cell>
          <cell r="Q270">
            <v>12</v>
          </cell>
          <cell r="R270">
            <v>9</v>
          </cell>
          <cell r="S270">
            <v>9</v>
          </cell>
          <cell r="T270">
            <v>7555.7319959056567</v>
          </cell>
          <cell r="U270">
            <v>7555.7319959056567</v>
          </cell>
          <cell r="V270">
            <v>7555.7319959056567</v>
          </cell>
          <cell r="W270">
            <v>90668.783950867888</v>
          </cell>
          <cell r="X270">
            <v>68001.587963150916</v>
          </cell>
          <cell r="Y270">
            <v>158670.37191401882</v>
          </cell>
          <cell r="Z270">
            <v>68001.587963150916</v>
          </cell>
          <cell r="AA270">
            <v>7555.7319959056567</v>
          </cell>
          <cell r="AB270">
            <v>22.713922295355381</v>
          </cell>
          <cell r="AC270">
            <v>160</v>
          </cell>
          <cell r="AD270">
            <v>1136.8226110933751</v>
          </cell>
          <cell r="AE270">
            <v>1828.9952408545646</v>
          </cell>
          <cell r="AF270">
            <v>396.00272515228812</v>
          </cell>
          <cell r="AG270">
            <v>559.68385154856719</v>
          </cell>
          <cell r="AH270" t="str">
            <v>Mecánica</v>
          </cell>
          <cell r="AI270">
            <v>7555.7319959056567</v>
          </cell>
          <cell r="AJ270">
            <v>160</v>
          </cell>
          <cell r="AK270">
            <v>47.223324974410353</v>
          </cell>
        </row>
        <row r="271">
          <cell r="A271" t="str">
            <v>C194</v>
          </cell>
          <cell r="B271" t="str">
            <v>COND</v>
          </cell>
          <cell r="C271" t="str">
            <v>WWOMMIM01060201800</v>
          </cell>
          <cell r="D271" t="str">
            <v>VENTANILLA, SANTA ROSA Y MALACAS</v>
          </cell>
          <cell r="E271" t="str">
            <v>BOMBA CENTRÍFUGA &gt;50&lt;130 KW: REVISIÓN</v>
          </cell>
          <cell r="F271" t="str">
            <v>LA REVISIÓN COMPLETA DE LA BOMBA INCLUYE DESMONTAJE CARCASA DE LA BOMBA, DESMONTAJE ACOPLAMIENTO Y PROTECCIÓN, DESMONTAJE SEMIJUNTAS, DESMONTAJE SELLO, EXTRACCIÓN COMPLETA DEL EJE E IMPULSOR, DESMONTAJE COJINETES DE LOS SOPORTES Y DESMONTAJE COMPONENTES RESTANTES, LIMPIEZA, SUSTITUCIÓN DE LOS ANILLOS DE DESGASTE DEL IMPULSOR Y DEL CUERPO Y/O SUSTITUCIÓN DEL PROPIO ROTOR. SUSTITUCIÓN PIEZAS DESGASTADAS, COJINETES, ANILLOS ELÁSTICOS, ANILLOS DE SELLO, JUNTAS, REPOSICIÓN DE ACEITE LUBRICANTE.</v>
          </cell>
          <cell r="G271" t="str">
            <v>MMIM0100</v>
          </cell>
          <cell r="H271" t="str">
            <v>NUM</v>
          </cell>
          <cell r="I271">
            <v>1</v>
          </cell>
          <cell r="J271">
            <v>16</v>
          </cell>
          <cell r="K271">
            <v>2</v>
          </cell>
          <cell r="L271">
            <v>32</v>
          </cell>
          <cell r="M271" t="str">
            <v>NO</v>
          </cell>
          <cell r="N271">
            <v>4</v>
          </cell>
          <cell r="O271">
            <v>3</v>
          </cell>
          <cell r="P271">
            <v>3</v>
          </cell>
          <cell r="Q271">
            <v>12</v>
          </cell>
          <cell r="R271">
            <v>9</v>
          </cell>
          <cell r="S271">
            <v>9</v>
          </cell>
          <cell r="T271">
            <v>1437.526110135602</v>
          </cell>
          <cell r="U271">
            <v>1437.526110135602</v>
          </cell>
          <cell r="V271">
            <v>1437.526110135602</v>
          </cell>
          <cell r="W271">
            <v>17250.313321627225</v>
          </cell>
          <cell r="X271">
            <v>12937.734991220419</v>
          </cell>
          <cell r="Y271">
            <v>30188.048312847644</v>
          </cell>
          <cell r="Z271">
            <v>12937.734991220419</v>
          </cell>
          <cell r="AA271">
            <v>1437.526110135602</v>
          </cell>
          <cell r="AB271">
            <v>20.776439546856693</v>
          </cell>
          <cell r="AC271">
            <v>32</v>
          </cell>
          <cell r="AD271">
            <v>226.47947076755304</v>
          </cell>
          <cell r="AE271">
            <v>364.37511898775159</v>
          </cell>
          <cell r="AF271">
            <v>75.342039315283131</v>
          </cell>
          <cell r="AG271">
            <v>106.48341556560015</v>
          </cell>
          <cell r="AH271" t="str">
            <v>Mecánica</v>
          </cell>
          <cell r="AI271">
            <v>1437.526110135602</v>
          </cell>
          <cell r="AJ271">
            <v>32</v>
          </cell>
          <cell r="AK271">
            <v>44.922690941737564</v>
          </cell>
        </row>
        <row r="272">
          <cell r="A272" t="str">
            <v>C197</v>
          </cell>
          <cell r="B272" t="str">
            <v>COND</v>
          </cell>
          <cell r="C272" t="str">
            <v>WWOMMIM01060200600</v>
          </cell>
          <cell r="D272" t="str">
            <v>VENTANILLA, SANTA ROSA Y MALACAS</v>
          </cell>
          <cell r="E272" t="str">
            <v>BOMBA CENTRIFUGA&lt;10KW: REVISIÓN COMPLETA</v>
          </cell>
          <cell r="F272" t="str">
            <v>LA REVISIÓN COMPLETA DE LA BOMBA INCLUYE DESMONTAJE CARCASA DE LA BOMBA, DESMONTAJE ACOPLAMIENTO Y PROTECCIÓN, DESMONTAJE SEMIJUNTAS, DESMONTAJE SELLO, EXTRACCIÓN COMPLETA DEL EJE E IMPULSOR, DESMONTAJE COJINETES DE LOS SOPORTES Y DESMONTAJE COMPONENTES RESTANTES, LIMPIEZA, SUSTITUCIÓN DE LOS ANILLOS DE DESGASTE DEL IMPULSOR Y DEL CUERPO Y/O SUSTITUCIÓN DEL PROPIO ROTOR. SUSTITUCIÓN PIEZAS DESGASTADAS, COJINETES, ANILLOS ELÁSTICOS, ANILLOS DE SELLO, JUNTAS, REPOSICIÓN DE ACEITE LUBRICANTE.</v>
          </cell>
          <cell r="G272" t="str">
            <v>MMIM0100</v>
          </cell>
          <cell r="H272" t="str">
            <v>NUM</v>
          </cell>
          <cell r="I272">
            <v>1</v>
          </cell>
          <cell r="J272">
            <v>10</v>
          </cell>
          <cell r="K272">
            <v>2</v>
          </cell>
          <cell r="L272">
            <v>20</v>
          </cell>
          <cell r="M272" t="str">
            <v>NO</v>
          </cell>
          <cell r="N272">
            <v>4</v>
          </cell>
          <cell r="O272">
            <v>3</v>
          </cell>
          <cell r="P272">
            <v>3</v>
          </cell>
          <cell r="Q272">
            <v>12</v>
          </cell>
          <cell r="R272">
            <v>9</v>
          </cell>
          <cell r="S272">
            <v>9</v>
          </cell>
          <cell r="T272">
            <v>898.45381883475056</v>
          </cell>
          <cell r="U272">
            <v>898.45381883475056</v>
          </cell>
          <cell r="V272">
            <v>898.45381883475056</v>
          </cell>
          <cell r="W272">
            <v>10781.445826017007</v>
          </cell>
          <cell r="X272">
            <v>8086.0843695127551</v>
          </cell>
          <cell r="Y272">
            <v>18867.530195529762</v>
          </cell>
          <cell r="Z272">
            <v>8086.0843695127551</v>
          </cell>
          <cell r="AA272">
            <v>898.45381883475056</v>
          </cell>
          <cell r="AB272">
            <v>20.776439546856693</v>
          </cell>
          <cell r="AC272">
            <v>20</v>
          </cell>
          <cell r="AD272">
            <v>141.54966922972042</v>
          </cell>
          <cell r="AE272">
            <v>227.73444936734435</v>
          </cell>
          <cell r="AF272">
            <v>47.088774572051918</v>
          </cell>
          <cell r="AG272">
            <v>66.552134728500036</v>
          </cell>
          <cell r="AH272" t="str">
            <v>Mecánica</v>
          </cell>
          <cell r="AI272">
            <v>898.45381883475056</v>
          </cell>
          <cell r="AJ272">
            <v>20</v>
          </cell>
          <cell r="AK272">
            <v>44.922690941737528</v>
          </cell>
        </row>
        <row r="273">
          <cell r="A273" t="str">
            <v>P122</v>
          </cell>
          <cell r="B273" t="str">
            <v>PREV</v>
          </cell>
          <cell r="C273" t="str">
            <v>PEOMMIM01MMLUB0001</v>
          </cell>
          <cell r="D273" t="str">
            <v>SANTA ROSA Y MALACAS</v>
          </cell>
          <cell r="E273" t="str">
            <v>LUBRICACION SOPORTES DESLIZANTES O TRUNIONES TG</v>
          </cell>
          <cell r="F273" t="str">
            <v>LA ACTIVIDAD LA INSPECCION, LIMPIEZA Y LUBRICACION DE SOPORTES DESLIZANTES DE LAS UNIDADES DE GENERACIÓN TG7 Y TG8</v>
          </cell>
          <cell r="G273" t="str">
            <v>LEII0900</v>
          </cell>
          <cell r="H273" t="str">
            <v>NUM</v>
          </cell>
          <cell r="I273">
            <v>1</v>
          </cell>
          <cell r="J273">
            <v>10</v>
          </cell>
          <cell r="K273">
            <v>3</v>
          </cell>
          <cell r="L273">
            <v>30</v>
          </cell>
          <cell r="M273" t="str">
            <v>Si</v>
          </cell>
          <cell r="N273">
            <v>0</v>
          </cell>
          <cell r="O273">
            <v>4</v>
          </cell>
          <cell r="P273">
            <v>2</v>
          </cell>
          <cell r="Q273">
            <v>0</v>
          </cell>
          <cell r="R273">
            <v>12</v>
          </cell>
          <cell r="S273">
            <v>6</v>
          </cell>
          <cell r="T273"/>
          <cell r="U273">
            <v>960.84960554907127</v>
          </cell>
          <cell r="V273">
            <v>960.84960554907127</v>
          </cell>
          <cell r="W273">
            <v>0</v>
          </cell>
          <cell r="X273">
            <v>11530.195266588855</v>
          </cell>
          <cell r="Y273">
            <v>11530.195266588855</v>
          </cell>
          <cell r="Z273">
            <v>5765.0976332944274</v>
          </cell>
          <cell r="AA273">
            <v>960.84960554907127</v>
          </cell>
          <cell r="AB273">
            <v>21.533127692412709</v>
          </cell>
          <cell r="AC273">
            <v>21</v>
          </cell>
          <cell r="AD273">
            <v>148.38664996825008</v>
          </cell>
          <cell r="AE273">
            <v>238.73423518314388</v>
          </cell>
          <cell r="AF273">
            <v>50.358994001523648</v>
          </cell>
          <cell r="AG273">
            <v>71.17404485548677</v>
          </cell>
          <cell r="AH273" t="e">
            <v>#N/A</v>
          </cell>
          <cell r="AI273">
            <v>960.84960554907127</v>
          </cell>
          <cell r="AJ273">
            <v>30</v>
          </cell>
          <cell r="AK273">
            <v>32.02832018496904</v>
          </cell>
        </row>
        <row r="274">
          <cell r="A274" t="str">
            <v>P032</v>
          </cell>
          <cell r="B274" t="str">
            <v>PREV</v>
          </cell>
          <cell r="C274" t="str">
            <v>WWOLEII09080300100</v>
          </cell>
          <cell r="D274" t="str">
            <v>VENTANILLA, SANTA ROSA Y MALACAS</v>
          </cell>
          <cell r="E274" t="str">
            <v>CONEX/DESCONEXION INSTRUMENTO DE MEDICIÓN</v>
          </cell>
          <cell r="F274" t="str">
            <v>LA ACTIVIDAD INCLUYE LA DESCONEXION Y LA RECONEXION DE UN INSTRUMENTO DE MEDICIÓN DE CUALQUIER TIPO. INCLUYE LA APERTURA DE LA CAJA DE BORNES, APERTURA CONEXIONES, PROTECIÓN DE LAS TERMINACIÓNES DE LOS CABLES DESARMADOS HASTA LA SIGUIENTE RECONEXION. INCLUYE RECONEXION Y PRUEBAS FUNCIÓNALES. CONTABILIZACIÓN: 40% DESCONEXION, 60% RECONEXION.</v>
          </cell>
          <cell r="G274" t="str">
            <v>LEII0908</v>
          </cell>
          <cell r="H274" t="str">
            <v>NUM</v>
          </cell>
          <cell r="I274">
            <v>1</v>
          </cell>
          <cell r="J274">
            <v>3</v>
          </cell>
          <cell r="K274">
            <v>2</v>
          </cell>
          <cell r="L274">
            <v>6</v>
          </cell>
          <cell r="M274" t="str">
            <v>NO</v>
          </cell>
          <cell r="N274">
            <v>3</v>
          </cell>
          <cell r="O274">
            <v>360</v>
          </cell>
          <cell r="P274">
            <v>3</v>
          </cell>
          <cell r="Q274">
            <v>9</v>
          </cell>
          <cell r="R274">
            <v>1080</v>
          </cell>
          <cell r="S274">
            <v>9</v>
          </cell>
          <cell r="T274">
            <v>288.67301147791397</v>
          </cell>
          <cell r="U274">
            <v>288.67301147791397</v>
          </cell>
          <cell r="V274">
            <v>288.67301147791397</v>
          </cell>
          <cell r="W274">
            <v>2598.0571033012257</v>
          </cell>
          <cell r="X274">
            <v>311766.85239614709</v>
          </cell>
          <cell r="Y274">
            <v>314364.90949944832</v>
          </cell>
          <cell r="Z274">
            <v>2598.0571033012257</v>
          </cell>
          <cell r="AA274">
            <v>288.67301147791397</v>
          </cell>
          <cell r="AB274">
            <v>23.057832511738386</v>
          </cell>
          <cell r="AC274">
            <v>6</v>
          </cell>
          <cell r="AD274">
            <v>43.625551426466274</v>
          </cell>
          <cell r="AE274">
            <v>70.18766618471939</v>
          </cell>
          <cell r="AF274">
            <v>15.129612760896958</v>
          </cell>
          <cell r="AG274">
            <v>21.383186035401035</v>
          </cell>
          <cell r="AH274" t="str">
            <v>Electricidad</v>
          </cell>
          <cell r="AI274">
            <v>288.67301147791397</v>
          </cell>
          <cell r="AJ274">
            <v>6</v>
          </cell>
          <cell r="AK274">
            <v>48.112168579652327</v>
          </cell>
        </row>
        <row r="275">
          <cell r="A275" t="str">
            <v>C035</v>
          </cell>
          <cell r="B275" t="str">
            <v>COND</v>
          </cell>
          <cell r="C275" t="str">
            <v>WWOLEII09080300100</v>
          </cell>
          <cell r="D275" t="str">
            <v>VENTANILLA, SANTA ROSA Y MALACAS</v>
          </cell>
          <cell r="E275" t="str">
            <v>CONEX/DESCONEXION INSTRUMENTO DE MEDICIÓN</v>
          </cell>
          <cell r="F275" t="str">
            <v>LA ACTIVIDAD INCLUYE LA DESCONEXION Y LA RECONEXION DE UN INSTRUMENTO DE MEDICIÓN DE CUALQUIER TIPO. INCLUYE LA APERTURA DE LA CAJA DE BORNES, APERTURA CONEXIONES, PROTECIÓN DE LAS TERMINACIÓNES DE LOS CABLES DESARMADOS HASTA LA SIGUIENTE RECONEXION. INCLUYE RECONEXION Y PRUEBAS FUNCIÓNALES. CONTABILIZACIÓN: 40% DESCONEXION, 60% RECONEXION.</v>
          </cell>
          <cell r="G275" t="str">
            <v>LEII0900</v>
          </cell>
          <cell r="H275" t="str">
            <v>NUM</v>
          </cell>
          <cell r="I275">
            <v>1</v>
          </cell>
          <cell r="J275">
            <v>3</v>
          </cell>
          <cell r="K275">
            <v>2</v>
          </cell>
          <cell r="L275">
            <v>6</v>
          </cell>
          <cell r="M275" t="str">
            <v>NO</v>
          </cell>
          <cell r="N275">
            <v>1</v>
          </cell>
          <cell r="O275">
            <v>1</v>
          </cell>
          <cell r="P275">
            <v>1</v>
          </cell>
          <cell r="Q275">
            <v>3</v>
          </cell>
          <cell r="R275">
            <v>3</v>
          </cell>
          <cell r="S275">
            <v>3</v>
          </cell>
          <cell r="T275">
            <v>288.67301147791432</v>
          </cell>
          <cell r="U275">
            <v>288.67301147791432</v>
          </cell>
          <cell r="V275">
            <v>288.67301147791432</v>
          </cell>
          <cell r="W275">
            <v>866.01903443374295</v>
          </cell>
          <cell r="X275">
            <v>866.01903443374295</v>
          </cell>
          <cell r="Y275">
            <v>1732.0380688674859</v>
          </cell>
          <cell r="Z275">
            <v>866.01903443374295</v>
          </cell>
          <cell r="AA275">
            <v>288.67301147791432</v>
          </cell>
          <cell r="AB275">
            <v>23.057832511738386</v>
          </cell>
          <cell r="AC275">
            <v>6</v>
          </cell>
          <cell r="AD275">
            <v>43.62555142646638</v>
          </cell>
          <cell r="AE275">
            <v>70.187666184719546</v>
          </cell>
          <cell r="AF275">
            <v>15.129612760896975</v>
          </cell>
          <cell r="AG275">
            <v>21.38318603540106</v>
          </cell>
          <cell r="AH275" t="str">
            <v>Electricidad</v>
          </cell>
          <cell r="AI275">
            <v>288.67301147791432</v>
          </cell>
          <cell r="AJ275">
            <v>6</v>
          </cell>
          <cell r="AK275">
            <v>48.112168579652383</v>
          </cell>
        </row>
        <row r="276">
          <cell r="A276" t="str">
            <v>C076</v>
          </cell>
          <cell r="B276" t="str">
            <v>COND</v>
          </cell>
          <cell r="C276" t="str">
            <v>WWOLEII09080600100</v>
          </cell>
          <cell r="D276" t="str">
            <v>VENTANILLA, SANTA ROSA Y MALACAS</v>
          </cell>
          <cell r="E276" t="str">
            <v>MOTOR (0 -25 KW) BT: DESMONTAJE/MONTAJE</v>
          </cell>
          <cell r="F276" t="str">
            <v>LA ACTIVIDAD INCLUYE DESCONEXIÓN Y RECONEXIÓN. DESCONEXIÓN CABLES, MARCADO DE CABLES, PUESTA A TIERRA. DESACOPLAMIENTO DEL MOTOR DE LA MAQUINA, DESMONTAJE Y TRANSPORTE HACIA Y DESDE EL TALLER. REMONTAJE, REACOPLAMIENTO, ASISTENCIA ALA PUESTA EN MARCHA.</v>
          </cell>
          <cell r="G276" t="str">
            <v>LEII0900</v>
          </cell>
          <cell r="H276" t="str">
            <v>NUM</v>
          </cell>
          <cell r="I276">
            <v>1</v>
          </cell>
          <cell r="J276">
            <v>8</v>
          </cell>
          <cell r="K276">
            <v>3</v>
          </cell>
          <cell r="L276">
            <v>24</v>
          </cell>
          <cell r="M276" t="str">
            <v>SI</v>
          </cell>
          <cell r="N276">
            <v>4</v>
          </cell>
          <cell r="O276">
            <v>3</v>
          </cell>
          <cell r="P276">
            <v>3</v>
          </cell>
          <cell r="Q276">
            <v>12</v>
          </cell>
          <cell r="R276">
            <v>9</v>
          </cell>
          <cell r="S276">
            <v>9</v>
          </cell>
          <cell r="T276">
            <v>1125.6816727310211</v>
          </cell>
          <cell r="U276">
            <v>1125.6816727310211</v>
          </cell>
          <cell r="V276">
            <v>1125.6816727310211</v>
          </cell>
          <cell r="W276">
            <v>13508.180072772253</v>
          </cell>
          <cell r="X276">
            <v>10131.13505457919</v>
          </cell>
          <cell r="Y276">
            <v>23639.315127351445</v>
          </cell>
          <cell r="Z276">
            <v>10131.13505457919</v>
          </cell>
          <cell r="AA276">
            <v>1125.6816727310211</v>
          </cell>
          <cell r="AB276">
            <v>21.533127692412709</v>
          </cell>
          <cell r="AC276">
            <v>24</v>
          </cell>
          <cell r="AD276">
            <v>165.89248377714151</v>
          </cell>
          <cell r="AE276">
            <v>300.61230549298733</v>
          </cell>
          <cell r="AF276">
            <v>58.997991233282022</v>
          </cell>
          <cell r="AG276">
            <v>83.383827609705264</v>
          </cell>
          <cell r="AH276" t="str">
            <v>Mecánica</v>
          </cell>
          <cell r="AI276">
            <v>1125.6816727310211</v>
          </cell>
          <cell r="AJ276">
            <v>24</v>
          </cell>
          <cell r="AK276">
            <v>46.903403030459209</v>
          </cell>
        </row>
        <row r="277">
          <cell r="A277" t="str">
            <v>C079</v>
          </cell>
          <cell r="B277" t="str">
            <v>COND</v>
          </cell>
          <cell r="C277" t="str">
            <v>WWOLEII09080600500</v>
          </cell>
          <cell r="D277" t="str">
            <v>VENTANILLA, SANTA ROSA Y MALACAS</v>
          </cell>
          <cell r="E277" t="str">
            <v>MOTOR (120-200KW) BT: DESMONTAJE/MONTAJE</v>
          </cell>
          <cell r="F277" t="str">
            <v>LA ACTIVIDAD INCLUYE DESCONEXIÓN Y RECONEXIÓN. DESCONEXIÓN CABLES, MARCADO DE CABLES, PUESTA A TIERRA. DESACOPLAMIENTO DEL MOTOR DE LA MAQUINA, DESMONTAJE Y TRANSPORTE HACIA Y DESDE EL TALLER. REMONTAJE, REACOPLAMIENTO, ASISTENCIA ALA PUESTA EN MARCHA.</v>
          </cell>
          <cell r="G277" t="str">
            <v>LEII0900</v>
          </cell>
          <cell r="H277" t="str">
            <v>NUM</v>
          </cell>
          <cell r="I277">
            <v>1</v>
          </cell>
          <cell r="J277">
            <v>10</v>
          </cell>
          <cell r="K277">
            <v>3</v>
          </cell>
          <cell r="L277">
            <v>30</v>
          </cell>
          <cell r="M277" t="str">
            <v>SI</v>
          </cell>
          <cell r="N277">
            <v>4</v>
          </cell>
          <cell r="O277">
            <v>3</v>
          </cell>
          <cell r="P277">
            <v>3</v>
          </cell>
          <cell r="Q277">
            <v>12</v>
          </cell>
          <cell r="R277">
            <v>9</v>
          </cell>
          <cell r="S277">
            <v>9</v>
          </cell>
          <cell r="T277">
            <v>1372.6422936415318</v>
          </cell>
          <cell r="U277">
            <v>1372.6422936415318</v>
          </cell>
          <cell r="V277">
            <v>1372.6422936415318</v>
          </cell>
          <cell r="W277">
            <v>16471.70752369838</v>
          </cell>
          <cell r="X277">
            <v>12353.780642773785</v>
          </cell>
          <cell r="Y277">
            <v>28825.488166472165</v>
          </cell>
          <cell r="Z277">
            <v>12353.780642773785</v>
          </cell>
          <cell r="AA277">
            <v>1372.6422936415318</v>
          </cell>
          <cell r="AB277">
            <v>21.533127692412712</v>
          </cell>
          <cell r="AC277">
            <v>30</v>
          </cell>
          <cell r="AD277">
            <v>211.98092852607206</v>
          </cell>
          <cell r="AE277">
            <v>341.04890740449207</v>
          </cell>
          <cell r="AF277">
            <v>71.941420002176713</v>
          </cell>
          <cell r="AG277">
            <v>101.67720693640977</v>
          </cell>
          <cell r="AH277" t="str">
            <v>Mecánica</v>
          </cell>
          <cell r="AI277">
            <v>1372.6422936415318</v>
          </cell>
          <cell r="AJ277">
            <v>30</v>
          </cell>
          <cell r="AK277">
            <v>45.754743121384394</v>
          </cell>
        </row>
        <row r="278">
          <cell r="A278" t="str">
            <v>C080</v>
          </cell>
          <cell r="B278" t="str">
            <v>COND</v>
          </cell>
          <cell r="C278" t="str">
            <v>WWOLEII09080600200</v>
          </cell>
          <cell r="D278" t="str">
            <v>VENTANILLA, SANTA ROSA Y MALACAS</v>
          </cell>
          <cell r="E278" t="str">
            <v>MOTOR (25 -50 KW) BT: DESMONTAJE MONTAJE</v>
          </cell>
          <cell r="F278" t="str">
            <v>LA ACTIVIDAD INCLUYE DESCONEXIÓN Y RECONEXIÓN. DESCONEXIÓN CABLES, MARCADO DE CABLES, PUESTA A TIERRA. DESACOPLAMIENTO DEL MOTOR DE LA MAQUINA, DESMONTAJE Y TRANSPORTE HACIA Y DESDE EL TALLER. REMONTAJE, REACOPLAMIENTO, ASISTENCIA ALA PUESTA EN MARCHA.</v>
          </cell>
          <cell r="G278" t="str">
            <v>LEII0900</v>
          </cell>
          <cell r="H278" t="str">
            <v>NUM</v>
          </cell>
          <cell r="I278">
            <v>1</v>
          </cell>
          <cell r="J278">
            <v>8</v>
          </cell>
          <cell r="K278">
            <v>3</v>
          </cell>
          <cell r="L278">
            <v>24</v>
          </cell>
          <cell r="M278" t="str">
            <v>SI</v>
          </cell>
          <cell r="N278">
            <v>4</v>
          </cell>
          <cell r="O278">
            <v>3</v>
          </cell>
          <cell r="P278">
            <v>3</v>
          </cell>
          <cell r="Q278">
            <v>12</v>
          </cell>
          <cell r="R278">
            <v>9</v>
          </cell>
          <cell r="S278">
            <v>9</v>
          </cell>
          <cell r="T278">
            <v>1098.1138349132241</v>
          </cell>
          <cell r="U278">
            <v>1098.1138349132241</v>
          </cell>
          <cell r="V278">
            <v>1098.1138349132241</v>
          </cell>
          <cell r="W278">
            <v>13177.366018958688</v>
          </cell>
          <cell r="X278">
            <v>9883.0245142190161</v>
          </cell>
          <cell r="Y278">
            <v>23060.390533177706</v>
          </cell>
          <cell r="Z278">
            <v>9883.0245142190161</v>
          </cell>
          <cell r="AA278">
            <v>1098.1138349132241</v>
          </cell>
          <cell r="AB278">
            <v>21.533127692412709</v>
          </cell>
          <cell r="AC278">
            <v>24</v>
          </cell>
          <cell r="AD278">
            <v>169.58474282085717</v>
          </cell>
          <cell r="AE278">
            <v>272.83912592359292</v>
          </cell>
          <cell r="AF278">
            <v>57.553136001741301</v>
          </cell>
          <cell r="AG278">
            <v>81.341765549127715</v>
          </cell>
          <cell r="AH278" t="str">
            <v>Mecánica</v>
          </cell>
          <cell r="AI278">
            <v>1098.1138349132241</v>
          </cell>
          <cell r="AJ278">
            <v>24</v>
          </cell>
          <cell r="AK278">
            <v>45.754743121384337</v>
          </cell>
        </row>
        <row r="279">
          <cell r="A279" t="str">
            <v>C082</v>
          </cell>
          <cell r="B279" t="str">
            <v>COND</v>
          </cell>
          <cell r="C279" t="str">
            <v>WWOLEII09080600300</v>
          </cell>
          <cell r="D279" t="str">
            <v>VENTANILLA, SANTA ROSA Y MALACAS</v>
          </cell>
          <cell r="E279" t="str">
            <v>MOTOR (50 -75 KW) BT: DESMONTAJE/MONTAJE</v>
          </cell>
          <cell r="F279" t="str">
            <v>LA ACTIVIDAD INCLUYE DESCONEXIÓN Y RECONEXIÓN. DESCONEXIÓN CABLES, MARCADO DE CABLES, PUESTA A TIERRA. DESACOPLAMIENTO DEL MOTOR DE LA MAQUINA, DESMONTAJE Y TRANSPORTE HACIA Y DESDE EL TALLER. REMONTAJE, REACOPLAMIENTO, ASISTENCIA ALA PUESTA EN MARCHA.</v>
          </cell>
          <cell r="G279" t="str">
            <v>LEII0900</v>
          </cell>
          <cell r="H279" t="str">
            <v>NUM</v>
          </cell>
          <cell r="I279">
            <v>1</v>
          </cell>
          <cell r="J279">
            <v>8</v>
          </cell>
          <cell r="K279">
            <v>3</v>
          </cell>
          <cell r="L279">
            <v>24</v>
          </cell>
          <cell r="M279" t="str">
            <v>SI</v>
          </cell>
          <cell r="N279">
            <v>4</v>
          </cell>
          <cell r="O279">
            <v>3</v>
          </cell>
          <cell r="P279">
            <v>3</v>
          </cell>
          <cell r="Q279">
            <v>12</v>
          </cell>
          <cell r="R279">
            <v>9</v>
          </cell>
          <cell r="S279">
            <v>9</v>
          </cell>
          <cell r="T279">
            <v>1098.1138349132254</v>
          </cell>
          <cell r="U279">
            <v>1098.1138349132254</v>
          </cell>
          <cell r="V279">
            <v>1098.1138349132254</v>
          </cell>
          <cell r="W279">
            <v>13177.366018958706</v>
          </cell>
          <cell r="X279">
            <v>9883.0245142190288</v>
          </cell>
          <cell r="Y279">
            <v>23060.390533177735</v>
          </cell>
          <cell r="Z279">
            <v>9883.0245142190288</v>
          </cell>
          <cell r="AA279">
            <v>1098.1138349132254</v>
          </cell>
          <cell r="AB279">
            <v>21.533127692412709</v>
          </cell>
          <cell r="AC279">
            <v>24</v>
          </cell>
          <cell r="AD279">
            <v>169.58474282085763</v>
          </cell>
          <cell r="AE279">
            <v>272.83912592359366</v>
          </cell>
          <cell r="AF279">
            <v>57.553136001741379</v>
          </cell>
          <cell r="AG279">
            <v>81.341765549127814</v>
          </cell>
          <cell r="AH279" t="str">
            <v>Mecánica</v>
          </cell>
          <cell r="AI279">
            <v>1098.1138349132254</v>
          </cell>
          <cell r="AJ279">
            <v>24</v>
          </cell>
          <cell r="AK279">
            <v>45.754743121384394</v>
          </cell>
        </row>
        <row r="280">
          <cell r="A280" t="str">
            <v>C084</v>
          </cell>
          <cell r="B280" t="str">
            <v>COND</v>
          </cell>
          <cell r="C280" t="str">
            <v>WWOLEII09080600400</v>
          </cell>
          <cell r="D280" t="str">
            <v>VENTANILLA, SANTA ROSA Y MALACAS</v>
          </cell>
          <cell r="E280" t="str">
            <v>MOTOR (75-120 KW) BT: DESMONTAJE/MONTAJE</v>
          </cell>
          <cell r="F280" t="str">
            <v>LA ACTIVIDAD INCLUYE DESCONEXIÓN Y RECONEXIÓN. DESCONEXIÓN CABLES, MARCADO DE CABLES, PUESTA A TIERRA. DESACOPLAMIENTO DEL MOTOR DE LA MAQUINA, DESMONTAJE Y TRANSPORTE HACIA Y DESDE EL TALLER. REMONTAJE, REACOPLAMIENTO, ASISTENCIA ALA PUESTA EN MARCHA.</v>
          </cell>
          <cell r="G280" t="str">
            <v>LEII0900</v>
          </cell>
          <cell r="H280" t="str">
            <v>NUM</v>
          </cell>
          <cell r="I280">
            <v>1</v>
          </cell>
          <cell r="J280">
            <v>10</v>
          </cell>
          <cell r="K280">
            <v>3</v>
          </cell>
          <cell r="L280">
            <v>30</v>
          </cell>
          <cell r="M280" t="str">
            <v>SI</v>
          </cell>
          <cell r="N280">
            <v>4</v>
          </cell>
          <cell r="O280">
            <v>3</v>
          </cell>
          <cell r="P280">
            <v>3</v>
          </cell>
          <cell r="Q280">
            <v>12</v>
          </cell>
          <cell r="R280">
            <v>9</v>
          </cell>
          <cell r="S280">
            <v>9</v>
          </cell>
          <cell r="T280">
            <v>1372.6422936415306</v>
          </cell>
          <cell r="U280">
            <v>1372.6422936415306</v>
          </cell>
          <cell r="V280">
            <v>1372.6422936415306</v>
          </cell>
          <cell r="W280">
            <v>16471.707523698366</v>
          </cell>
          <cell r="X280">
            <v>12353.780642773776</v>
          </cell>
          <cell r="Y280">
            <v>28825.48816647214</v>
          </cell>
          <cell r="Z280">
            <v>12353.780642773776</v>
          </cell>
          <cell r="AA280">
            <v>1372.6422936415306</v>
          </cell>
          <cell r="AB280">
            <v>21.533127692412712</v>
          </cell>
          <cell r="AC280">
            <v>30</v>
          </cell>
          <cell r="AD280">
            <v>211.98092852607152</v>
          </cell>
          <cell r="AE280">
            <v>341.04890740449122</v>
          </cell>
          <cell r="AF280">
            <v>71.941420002176642</v>
          </cell>
          <cell r="AG280">
            <v>101.67720693640968</v>
          </cell>
          <cell r="AH280" t="str">
            <v>Mecánica</v>
          </cell>
          <cell r="AI280">
            <v>1372.6422936415306</v>
          </cell>
          <cell r="AJ280">
            <v>30</v>
          </cell>
          <cell r="AK280">
            <v>45.754743121384351</v>
          </cell>
        </row>
        <row r="281">
          <cell r="A281" t="str">
            <v>C151</v>
          </cell>
          <cell r="B281" t="str">
            <v>COND</v>
          </cell>
          <cell r="C281" t="str">
            <v>WWOLEII09081300200</v>
          </cell>
          <cell r="D281" t="str">
            <v>VENTANILLA, SANTA ROSA Y MALACAS</v>
          </cell>
          <cell r="E281" t="str">
            <v>DESCON/CONEXIÓN FLEXIBLES GENERADOR</v>
          </cell>
          <cell r="F281" t="str">
            <v>LA ACTIVIDAD INCLUYE APERTURA DE LAS TAPAS DEL GENERADOR, INSTALACIÓN PUESTAS A TIERRA MOVILES, DESCONEXIÓN FLEXIBLES Y ENUMERACIÓN. UNA VEZ TERINADA LA ACTIVIDAD, RECONEXIONADO Y APRIETE TORNILLOS CON LLAVE DE TORSIÓN, CIERRE DE LAS TAPAS. EL PRECIO SE APLICA PARA ALS CONEXIONES DE SALIDA Y DE CENTRO ESTRELLA DEL GENERADOR. INCLUYE CONSUMIBLES Y LA TONILLERIA EN ACERO INOXIDABLE QUE PUDIERA PERDERSE O DAÑARSE.</v>
          </cell>
          <cell r="G281" t="str">
            <v>LEII0900</v>
          </cell>
          <cell r="H281" t="str">
            <v>NUM</v>
          </cell>
          <cell r="I281">
            <v>1</v>
          </cell>
          <cell r="J281">
            <v>12</v>
          </cell>
          <cell r="K281">
            <v>3</v>
          </cell>
          <cell r="L281">
            <v>36</v>
          </cell>
          <cell r="M281" t="str">
            <v>SI</v>
          </cell>
          <cell r="N281">
            <v>4</v>
          </cell>
          <cell r="O281">
            <v>3</v>
          </cell>
          <cell r="P281">
            <v>3</v>
          </cell>
          <cell r="Q281">
            <v>12</v>
          </cell>
          <cell r="R281">
            <v>9</v>
          </cell>
          <cell r="S281">
            <v>9</v>
          </cell>
          <cell r="T281">
            <v>1712.4760105982</v>
          </cell>
          <cell r="U281">
            <v>1712.4760105982</v>
          </cell>
          <cell r="V281">
            <v>1712.4760105982</v>
          </cell>
          <cell r="W281">
            <v>20549.712127178398</v>
          </cell>
          <cell r="X281">
            <v>15412.2840953838</v>
          </cell>
          <cell r="Y281">
            <v>35961.9962225622</v>
          </cell>
          <cell r="Z281">
            <v>15412.2840953838</v>
          </cell>
          <cell r="AA281">
            <v>1712.4760105982</v>
          </cell>
          <cell r="AB281">
            <v>22.522865491628611</v>
          </cell>
          <cell r="AC281">
            <v>36</v>
          </cell>
          <cell r="AD281">
            <v>262.58549423675657</v>
          </cell>
          <cell r="AE281">
            <v>422.46487234675863</v>
          </cell>
          <cell r="AF281">
            <v>89.752411456928712</v>
          </cell>
          <cell r="AG281">
            <v>126.85007485912593</v>
          </cell>
          <cell r="AH281" t="str">
            <v>Electricidad</v>
          </cell>
          <cell r="AI281">
            <v>1712.4760105982</v>
          </cell>
          <cell r="AJ281">
            <v>36</v>
          </cell>
          <cell r="AK281">
            <v>47.568778072172222</v>
          </cell>
        </row>
        <row r="282">
          <cell r="A282" t="str">
            <v>C310</v>
          </cell>
          <cell r="B282" t="str">
            <v>COND</v>
          </cell>
          <cell r="C282" t="str">
            <v>WWOMMIM01061900100</v>
          </cell>
          <cell r="D282" t="str">
            <v>VENTANILLA, SANTA ROSA Y MALACAS</v>
          </cell>
          <cell r="E282" t="str">
            <v>SUSTITUCIÓN CORREA TRAPEZIOIDAL</v>
          </cell>
          <cell r="F282" t="str">
            <v>LA ACTIVIDAD IMPLICA LA SUSTITUCIÓN DE CORREAS TRAPEZOIDALES ENTRE EL MOTOR Y EL EQUIPO ACCIÓNADO. SE INCLUYE EL DESMONTAJE-MONTAJE DE LOS ELEMENTOS DE PROTECCIÓN . EL IMPORTE NO SE MODIFCA EN CASO DE EXISTIR MÁS DE UNA CORREA POR ACCIÓNAMIENTO</v>
          </cell>
          <cell r="G282" t="str">
            <v>MMIM0100</v>
          </cell>
          <cell r="H282" t="str">
            <v>NUM</v>
          </cell>
          <cell r="I282">
            <v>1</v>
          </cell>
          <cell r="J282">
            <v>10</v>
          </cell>
          <cell r="K282">
            <v>2</v>
          </cell>
          <cell r="L282">
            <v>20</v>
          </cell>
          <cell r="M282" t="str">
            <v>SI</v>
          </cell>
          <cell r="N282">
            <v>4</v>
          </cell>
          <cell r="O282">
            <v>3</v>
          </cell>
          <cell r="P282">
            <v>3</v>
          </cell>
          <cell r="Q282">
            <v>12</v>
          </cell>
          <cell r="R282">
            <v>9</v>
          </cell>
          <cell r="S282">
            <v>9</v>
          </cell>
          <cell r="T282">
            <v>898.45381883475113</v>
          </cell>
          <cell r="U282">
            <v>898.45381883475113</v>
          </cell>
          <cell r="V282">
            <v>898.45381883475113</v>
          </cell>
          <cell r="W282">
            <v>10781.445826017014</v>
          </cell>
          <cell r="X282">
            <v>8086.0843695127605</v>
          </cell>
          <cell r="Y282">
            <v>18867.530195529776</v>
          </cell>
          <cell r="Z282">
            <v>8086.0843695127605</v>
          </cell>
          <cell r="AA282">
            <v>898.45381883475113</v>
          </cell>
          <cell r="AB282">
            <v>20.776439546856693</v>
          </cell>
          <cell r="AC282">
            <v>20</v>
          </cell>
          <cell r="AD282">
            <v>141.54966922972056</v>
          </cell>
          <cell r="AE282">
            <v>227.73444936734458</v>
          </cell>
          <cell r="AF282">
            <v>47.088774572051946</v>
          </cell>
          <cell r="AG282">
            <v>66.552134728500093</v>
          </cell>
          <cell r="AH282" t="str">
            <v>Mecánica</v>
          </cell>
          <cell r="AI282">
            <v>898.45381883475113</v>
          </cell>
          <cell r="AJ282">
            <v>20</v>
          </cell>
          <cell r="AK282">
            <v>44.922690941737557</v>
          </cell>
        </row>
        <row r="283">
          <cell r="A283" t="str">
            <v>C372</v>
          </cell>
          <cell r="B283" t="str">
            <v>COND</v>
          </cell>
          <cell r="C283" t="str">
            <v>PEOMMIM01MMOCMANH1</v>
          </cell>
          <cell r="D283" t="str">
            <v>VENTANILLA, SANTA ROSA Y MALACAS</v>
          </cell>
          <cell r="E283" t="str">
            <v>APERTURA Y CIERRE MANHOLE INLET ADMISION AIRE</v>
          </cell>
          <cell r="F283" t="str">
            <v xml:space="preserve">LA ACTIVIDAD CONTEMPLEA LA APERTURA Y CIERRE MANHOLE DE INLET (ADMISION) E INCLUYE EL CAMBIO DE EMPAQUETADURA </v>
          </cell>
          <cell r="G283" t="str">
            <v>LEII0900</v>
          </cell>
          <cell r="H283" t="str">
            <v>NUM</v>
          </cell>
          <cell r="I283">
            <v>1</v>
          </cell>
          <cell r="J283">
            <v>3</v>
          </cell>
          <cell r="K283">
            <v>2</v>
          </cell>
          <cell r="L283">
            <v>6</v>
          </cell>
          <cell r="M283" t="str">
            <v>Si</v>
          </cell>
          <cell r="N283">
            <v>4</v>
          </cell>
          <cell r="O283">
            <v>6</v>
          </cell>
          <cell r="P283">
            <v>2</v>
          </cell>
          <cell r="Q283">
            <v>12</v>
          </cell>
          <cell r="R283">
            <v>18</v>
          </cell>
          <cell r="S283">
            <v>6</v>
          </cell>
          <cell r="T283">
            <v>256.90547649199476</v>
          </cell>
          <cell r="U283">
            <v>256.90547649199476</v>
          </cell>
          <cell r="V283">
            <v>256.90547649199476</v>
          </cell>
          <cell r="W283">
            <v>3082.8657179039374</v>
          </cell>
          <cell r="X283">
            <v>4624.2985768559056</v>
          </cell>
          <cell r="Y283">
            <v>7707.164294759843</v>
          </cell>
          <cell r="Z283">
            <v>1541.4328589519687</v>
          </cell>
          <cell r="AA283">
            <v>256.90547649199476</v>
          </cell>
          <cell r="AB283">
            <v>19.171538486527368</v>
          </cell>
          <cell r="AC283">
            <v>6</v>
          </cell>
          <cell r="AD283">
            <v>41.926861283640029</v>
          </cell>
          <cell r="AE283">
            <v>67.454701378602792</v>
          </cell>
          <cell r="AF283">
            <v>13.46464761488442</v>
          </cell>
          <cell r="AG283">
            <v>19.030035295703314</v>
          </cell>
          <cell r="AH283" t="e">
            <v>#N/A</v>
          </cell>
          <cell r="AI283">
            <v>256.90547649199476</v>
          </cell>
          <cell r="AJ283">
            <v>6</v>
          </cell>
          <cell r="AK283">
            <v>42.81757941533246</v>
          </cell>
        </row>
        <row r="284">
          <cell r="A284" t="str">
            <v>P119</v>
          </cell>
          <cell r="B284" t="str">
            <v>PREV</v>
          </cell>
          <cell r="C284" t="str">
            <v>PEOMMIM01MMOCMANH2</v>
          </cell>
          <cell r="D284" t="str">
            <v>VENTANILLA, SANTA ROSA Y MALACAS</v>
          </cell>
          <cell r="E284" t="str">
            <v>APERTURA Y CIERRE MANHOLE CHIMENEA</v>
          </cell>
          <cell r="F284" t="str">
            <v>LA ACTIVIDAD CONTEMPLEA EL ARMADO DE UN CUERPO DE ANDAMIOS, LA APERTURA Y CIERRE MANHOLE CHIMENEA</v>
          </cell>
          <cell r="G284" t="str">
            <v>MMIM01</v>
          </cell>
          <cell r="H284" t="str">
            <v>NUM</v>
          </cell>
          <cell r="I284">
            <v>1</v>
          </cell>
          <cell r="J284">
            <v>2</v>
          </cell>
          <cell r="K284">
            <v>2</v>
          </cell>
          <cell r="L284">
            <v>4</v>
          </cell>
          <cell r="M284" t="str">
            <v>Si</v>
          </cell>
          <cell r="N284">
            <v>2</v>
          </cell>
          <cell r="O284">
            <v>2</v>
          </cell>
          <cell r="P284">
            <v>1</v>
          </cell>
          <cell r="Q284">
            <v>6</v>
          </cell>
          <cell r="R284">
            <v>6</v>
          </cell>
          <cell r="S284">
            <v>3</v>
          </cell>
          <cell r="T284">
            <v>263.79743594644401</v>
          </cell>
          <cell r="U284">
            <v>263.79743594644401</v>
          </cell>
          <cell r="V284">
            <v>263.79743594644401</v>
          </cell>
          <cell r="W284">
            <v>1582.7846156786641</v>
          </cell>
          <cell r="X284">
            <v>1582.7846156786641</v>
          </cell>
          <cell r="Y284">
            <v>3165.5692313573281</v>
          </cell>
          <cell r="Z284">
            <v>791.39230783933203</v>
          </cell>
          <cell r="AA284">
            <v>263.79743594644401</v>
          </cell>
          <cell r="AB284">
            <v>19.171538486527368</v>
          </cell>
          <cell r="AC284">
            <v>6</v>
          </cell>
          <cell r="AD284">
            <v>41.037713822462457</v>
          </cell>
          <cell r="AE284">
            <v>74.364078971200044</v>
          </cell>
          <cell r="AF284">
            <v>13.8258614227696</v>
          </cell>
          <cell r="AG284">
            <v>19.540550810847705</v>
          </cell>
          <cell r="AH284" t="str">
            <v>Mecánica</v>
          </cell>
          <cell r="AI284">
            <v>263.79743594644401</v>
          </cell>
          <cell r="AJ284">
            <v>4</v>
          </cell>
          <cell r="AK284">
            <v>65.949358986611003</v>
          </cell>
        </row>
        <row r="285">
          <cell r="A285" t="str">
            <v>P121</v>
          </cell>
          <cell r="B285" t="str">
            <v>PREV</v>
          </cell>
          <cell r="C285" t="str">
            <v>PEOMMIM01MMLIMP005</v>
          </cell>
          <cell r="D285" t="str">
            <v>SANTA ROSA Y MALACAS</v>
          </cell>
          <cell r="E285" t="str">
            <v xml:space="preserve">LIMPIEZA DE SALAS Y NAVES </v>
          </cell>
          <cell r="F285" t="str">
            <v>LA ACTIVIDAD CONTEMPLA LIMPIEZA DE LOS ENCERRAMIENTOS TURBINA MEDIANTE EL ASPIRADO, RETIRO DE MATERIALES SOBRANTES Y RESIDUOS</v>
          </cell>
          <cell r="G285" t="str">
            <v>LEII0900</v>
          </cell>
          <cell r="H285" t="str">
            <v>NUM</v>
          </cell>
          <cell r="I285">
            <v>1</v>
          </cell>
          <cell r="J285">
            <v>6</v>
          </cell>
          <cell r="K285">
            <v>3</v>
          </cell>
          <cell r="L285">
            <v>18</v>
          </cell>
          <cell r="M285" t="str">
            <v>SI</v>
          </cell>
          <cell r="N285">
            <v>0</v>
          </cell>
          <cell r="O285">
            <v>16</v>
          </cell>
          <cell r="P285">
            <v>6</v>
          </cell>
          <cell r="Q285">
            <v>0</v>
          </cell>
          <cell r="R285">
            <v>48</v>
          </cell>
          <cell r="S285">
            <v>18</v>
          </cell>
          <cell r="T285"/>
          <cell r="U285">
            <v>703.55104545688823</v>
          </cell>
          <cell r="V285">
            <v>703.55104545688823</v>
          </cell>
          <cell r="W285">
            <v>0</v>
          </cell>
          <cell r="X285">
            <v>33770.450181930632</v>
          </cell>
          <cell r="Y285">
            <v>33770.450181930632</v>
          </cell>
          <cell r="Z285">
            <v>12663.918818223989</v>
          </cell>
          <cell r="AA285">
            <v>703.55104545688823</v>
          </cell>
          <cell r="AB285">
            <v>21.533127692412712</v>
          </cell>
          <cell r="AC285">
            <v>15</v>
          </cell>
          <cell r="AD285">
            <v>103.68280236071344</v>
          </cell>
          <cell r="AE285">
            <v>187.88269093311706</v>
          </cell>
          <cell r="AF285">
            <v>36.873744520801267</v>
          </cell>
          <cell r="AG285">
            <v>52.114892256065794</v>
          </cell>
          <cell r="AH285" t="e">
            <v>#N/A</v>
          </cell>
          <cell r="AI285">
            <v>703.55104545688823</v>
          </cell>
          <cell r="AJ285">
            <v>18</v>
          </cell>
          <cell r="AK285">
            <v>39.086169192049347</v>
          </cell>
        </row>
        <row r="286">
          <cell r="A286" t="str">
            <v>P123</v>
          </cell>
          <cell r="B286" t="str">
            <v>PREV</v>
          </cell>
          <cell r="C286" t="str">
            <v>PEOMMIM01MMALIN001</v>
          </cell>
          <cell r="D286" t="str">
            <v>VENTANILLA, SANTA ROSA Y MALACAS</v>
          </cell>
          <cell r="E286" t="str">
            <v>VERIFICACION Y ALINEAMIENTO POLEAS Y FAJAS</v>
          </cell>
          <cell r="F286" t="str">
            <v>LA ACTIVIDAD CONTEMPLA LA VERIFICACION Y ALINEAMIENTO DE LOS SISTEMAS POLEAS Y FAJAS DE LOS COMPRESORES Y VENTILADORES DE LAS UNIDADES DE GENERACIÓN TG5. TG6. TG7. TG8 Y COMUNES</v>
          </cell>
          <cell r="G286" t="str">
            <v>MMIM01</v>
          </cell>
          <cell r="H286" t="str">
            <v>NUM</v>
          </cell>
          <cell r="I286">
            <v>1</v>
          </cell>
          <cell r="J286">
            <v>6</v>
          </cell>
          <cell r="K286">
            <v>3</v>
          </cell>
          <cell r="L286">
            <v>18</v>
          </cell>
          <cell r="M286" t="str">
            <v>Si</v>
          </cell>
          <cell r="N286">
            <v>4</v>
          </cell>
          <cell r="O286">
            <v>13</v>
          </cell>
          <cell r="P286">
            <v>14</v>
          </cell>
          <cell r="Q286">
            <v>12</v>
          </cell>
          <cell r="R286">
            <v>39</v>
          </cell>
          <cell r="S286">
            <v>42</v>
          </cell>
          <cell r="T286">
            <v>703.55104545688823</v>
          </cell>
          <cell r="U286">
            <v>703.55104545688823</v>
          </cell>
          <cell r="V286">
            <v>703.55104545688823</v>
          </cell>
          <cell r="W286">
            <v>8442.6125454826579</v>
          </cell>
          <cell r="X286">
            <v>27438.490772818641</v>
          </cell>
          <cell r="Y286">
            <v>35881.103318301299</v>
          </cell>
          <cell r="Z286">
            <v>29549.143909189304</v>
          </cell>
          <cell r="AA286">
            <v>703.55104545688823</v>
          </cell>
          <cell r="AB286">
            <v>21.533127692412712</v>
          </cell>
          <cell r="AC286">
            <v>15</v>
          </cell>
          <cell r="AD286">
            <v>103.68280236071344</v>
          </cell>
          <cell r="AE286">
            <v>187.88269093311706</v>
          </cell>
          <cell r="AF286">
            <v>36.873744520801267</v>
          </cell>
          <cell r="AG286">
            <v>52.114892256065794</v>
          </cell>
          <cell r="AH286" t="str">
            <v>Mecánica</v>
          </cell>
          <cell r="AI286">
            <v>703.55104545688823</v>
          </cell>
          <cell r="AJ286">
            <v>18</v>
          </cell>
          <cell r="AK286">
            <v>39.086169192049347</v>
          </cell>
        </row>
        <row r="287">
          <cell r="A287" t="str">
            <v>P124</v>
          </cell>
          <cell r="B287" t="str">
            <v>PREV</v>
          </cell>
          <cell r="C287" t="str">
            <v>PEOMMIM01MMALIN002</v>
          </cell>
          <cell r="D287" t="str">
            <v>VENTANILLA, SANTA ROSA Y MALACAS</v>
          </cell>
          <cell r="E287" t="str">
            <v>VERIFICACION Y ALINEAMIENTO BOMBAS</v>
          </cell>
          <cell r="F287" t="str">
            <v>LA ACTIVIDAD CONTEMPLA LA VERIFICACION Y ALINEAMIENTO DE LOS EJES, REVISIÓN Y/O CAMBIO DE ACOPLAMIENTOS DE LOS EQUIPOS DE BOMBEO DE AGUA, DIESEL, BOMBA DE VACIO LUB. Y LUBRICACIÓN, SOPLADORES, EJES CARDANES.</v>
          </cell>
          <cell r="G287" t="str">
            <v>MMIM01</v>
          </cell>
          <cell r="H287" t="str">
            <v>NUM</v>
          </cell>
          <cell r="I287">
            <v>1</v>
          </cell>
          <cell r="J287">
            <v>4</v>
          </cell>
          <cell r="K287">
            <v>3</v>
          </cell>
          <cell r="L287">
            <v>12</v>
          </cell>
          <cell r="M287" t="str">
            <v>Si</v>
          </cell>
          <cell r="N287">
            <v>8</v>
          </cell>
          <cell r="O287">
            <v>27</v>
          </cell>
          <cell r="P287">
            <v>5</v>
          </cell>
          <cell r="Q287">
            <v>24</v>
          </cell>
          <cell r="R287">
            <v>81</v>
          </cell>
          <cell r="S287">
            <v>15</v>
          </cell>
          <cell r="T287">
            <v>513.81095298398952</v>
          </cell>
          <cell r="U287">
            <v>513.81095298398952</v>
          </cell>
          <cell r="V287">
            <v>513.81095298398952</v>
          </cell>
          <cell r="W287">
            <v>12331.462871615749</v>
          </cell>
          <cell r="X287">
            <v>41618.687191703153</v>
          </cell>
          <cell r="Y287">
            <v>53950.150063318899</v>
          </cell>
          <cell r="Z287">
            <v>7707.164294759843</v>
          </cell>
          <cell r="AA287">
            <v>513.81095298398952</v>
          </cell>
          <cell r="AB287">
            <v>19.171538486527368</v>
          </cell>
          <cell r="AC287">
            <v>12</v>
          </cell>
          <cell r="AD287">
            <v>83.853722567280059</v>
          </cell>
          <cell r="AE287">
            <v>134.90940275720558</v>
          </cell>
          <cell r="AF287">
            <v>26.92929522976884</v>
          </cell>
          <cell r="AG287">
            <v>38.060070591406628</v>
          </cell>
          <cell r="AH287" t="str">
            <v>Mecánica</v>
          </cell>
          <cell r="AI287">
            <v>513.81095298398952</v>
          </cell>
          <cell r="AJ287">
            <v>12</v>
          </cell>
          <cell r="AK287">
            <v>42.81757941533246</v>
          </cell>
        </row>
        <row r="288">
          <cell r="A288" t="str">
            <v>C266</v>
          </cell>
          <cell r="B288" t="str">
            <v>COND</v>
          </cell>
          <cell r="C288" t="str">
            <v>WWOMMIM01060603600</v>
          </cell>
          <cell r="D288" t="str">
            <v>VENTANILLA, SANTA ROSA Y MALACAS</v>
          </cell>
          <cell r="E288" t="str">
            <v>REAPRETAR TAPON DE DRENAJES DE CALDERA</v>
          </cell>
          <cell r="F288" t="str">
            <v>LA ACTIVIDAD CONTEMPLA LA VERIFICACIÓN DE FUGAS, ESTANQUIEDAD DEL DRENAJE Y APRIETE DEL TAPON.</v>
          </cell>
          <cell r="G288" t="str">
            <v>MMIM0100</v>
          </cell>
          <cell r="H288" t="str">
            <v>NUM</v>
          </cell>
          <cell r="I288">
            <v>1</v>
          </cell>
          <cell r="J288">
            <v>1</v>
          </cell>
          <cell r="K288">
            <v>2</v>
          </cell>
          <cell r="L288">
            <v>2</v>
          </cell>
          <cell r="M288" t="str">
            <v>NO</v>
          </cell>
          <cell r="N288">
            <v>4</v>
          </cell>
          <cell r="O288">
            <v>3</v>
          </cell>
          <cell r="P288">
            <v>3</v>
          </cell>
          <cell r="Q288">
            <v>12</v>
          </cell>
          <cell r="R288">
            <v>9</v>
          </cell>
          <cell r="S288">
            <v>9</v>
          </cell>
          <cell r="T288">
            <v>85.635158830664992</v>
          </cell>
          <cell r="U288">
            <v>85.635158830664992</v>
          </cell>
          <cell r="V288">
            <v>85.635158830664992</v>
          </cell>
          <cell r="W288">
            <v>1027.62190596798</v>
          </cell>
          <cell r="X288">
            <v>770.71642947598491</v>
          </cell>
          <cell r="Y288">
            <v>1798.3383354439648</v>
          </cell>
          <cell r="Z288">
            <v>770.71642947598491</v>
          </cell>
          <cell r="AA288">
            <v>85.635158830664992</v>
          </cell>
          <cell r="AB288">
            <v>19.171538486527368</v>
          </cell>
          <cell r="AC288">
            <v>2</v>
          </cell>
          <cell r="AD288">
            <v>13.975620427880031</v>
          </cell>
          <cell r="AE288">
            <v>22.484900459534298</v>
          </cell>
          <cell r="AF288">
            <v>4.4882158716281442</v>
          </cell>
          <cell r="AG288">
            <v>6.3433450985677773</v>
          </cell>
          <cell r="AH288" t="str">
            <v>Mecánica</v>
          </cell>
          <cell r="AI288">
            <v>85.635158830664992</v>
          </cell>
          <cell r="AJ288">
            <v>2</v>
          </cell>
          <cell r="AK288">
            <v>42.817579415332496</v>
          </cell>
        </row>
        <row r="289">
          <cell r="A289" t="str">
            <v>P128</v>
          </cell>
          <cell r="B289" t="str">
            <v>PREV</v>
          </cell>
          <cell r="C289" t="str">
            <v>PEOMMIM01MMTQAIR01</v>
          </cell>
          <cell r="D289" t="str">
            <v>VENTANILLA, SANTA ROSA Y MALACAS</v>
          </cell>
          <cell r="E289" t="str">
            <v>REVISION GENERAL TANQUES DE AIRE I&amp;C</v>
          </cell>
          <cell r="F289" t="str">
            <v>LA ACTIVIDAD CONTEMPLA LA REVISION GENERAL DE TANQUES HASTA 40 M3, TOMA DE MEDIDA DE ESPESORES, DETECCION DE PUNTOS DE CORROSION Y RESANE DE PINTURA A 1M2</v>
          </cell>
          <cell r="G289" t="str">
            <v>MMIM01</v>
          </cell>
          <cell r="H289" t="str">
            <v>NUM</v>
          </cell>
          <cell r="I289">
            <v>1</v>
          </cell>
          <cell r="J289">
            <v>4</v>
          </cell>
          <cell r="K289">
            <v>3</v>
          </cell>
          <cell r="L289">
            <v>12</v>
          </cell>
          <cell r="M289" t="str">
            <v>Si</v>
          </cell>
          <cell r="N289">
            <v>3</v>
          </cell>
          <cell r="O289">
            <v>14</v>
          </cell>
          <cell r="P289">
            <v>14</v>
          </cell>
          <cell r="Q289">
            <v>9</v>
          </cell>
          <cell r="R289">
            <v>42</v>
          </cell>
          <cell r="S289">
            <v>42</v>
          </cell>
          <cell r="T289">
            <v>428.17579415332466</v>
          </cell>
          <cell r="U289">
            <v>428.17579415332466</v>
          </cell>
          <cell r="V289">
            <v>428.17579415332466</v>
          </cell>
          <cell r="W289">
            <v>3853.5821473799219</v>
          </cell>
          <cell r="X289">
            <v>17983.383354439637</v>
          </cell>
          <cell r="Y289">
            <v>21836.965501819559</v>
          </cell>
          <cell r="Z289">
            <v>17983.383354439637</v>
          </cell>
          <cell r="AA289">
            <v>428.17579415332466</v>
          </cell>
          <cell r="AB289">
            <v>19.171538486527368</v>
          </cell>
          <cell r="AC289">
            <v>10</v>
          </cell>
          <cell r="AD289">
            <v>69.87810213940007</v>
          </cell>
          <cell r="AE289">
            <v>112.42450229767135</v>
          </cell>
          <cell r="AF289">
            <v>22.441079358140705</v>
          </cell>
          <cell r="AG289">
            <v>31.716725492838865</v>
          </cell>
          <cell r="AH289" t="str">
            <v>Mecánica</v>
          </cell>
          <cell r="AI289">
            <v>428.17579415332466</v>
          </cell>
          <cell r="AJ289">
            <v>12</v>
          </cell>
          <cell r="AK289">
            <v>35.681316179443719</v>
          </cell>
        </row>
        <row r="290">
          <cell r="A290" t="str">
            <v>P073</v>
          </cell>
          <cell r="B290" t="str">
            <v>PREV</v>
          </cell>
          <cell r="C290" t="str">
            <v>PEOMMIM0100MMVAL03</v>
          </cell>
          <cell r="D290" t="str">
            <v>SANTA ROSA</v>
          </cell>
          <cell r="E290" t="str">
            <v>REVISION DE BLEED VALVE UTI</v>
          </cell>
          <cell r="F290" t="str">
            <v>LA ACTIVIDAD CONTEMPLA LA PREPARACIÓN Y TRANSPORTE DE LOS MATERIALES, REPUESTOS, INSTRUMENTOS DE PRESION Y HERRAMIENTAS NECESARIAS, DESMONTAJE Y LIMPIEZA DE LA VÁLVULA BLEED VALVE, PISTON Y PILOTO, CAMBIO DE ORINGS Y ELEMENTOS INTERNOS, FINALMENTE PRUEBAS FUNCIONALES DE ACTUACIÓN CONFORME A LOS SETTINGS FIJADOS</v>
          </cell>
          <cell r="G290" t="str">
            <v>MMIM0100</v>
          </cell>
          <cell r="H290" t="str">
            <v>NUM</v>
          </cell>
          <cell r="I290">
            <v>1</v>
          </cell>
          <cell r="J290">
            <v>2</v>
          </cell>
          <cell r="K290">
            <v>2</v>
          </cell>
          <cell r="L290">
            <v>4</v>
          </cell>
          <cell r="M290" t="str">
            <v>NO</v>
          </cell>
          <cell r="N290">
            <v>0</v>
          </cell>
          <cell r="O290">
            <v>12</v>
          </cell>
          <cell r="P290">
            <v>0</v>
          </cell>
          <cell r="Q290">
            <v>0</v>
          </cell>
          <cell r="R290">
            <v>36</v>
          </cell>
          <cell r="S290">
            <v>0</v>
          </cell>
          <cell r="T290"/>
          <cell r="U290">
            <v>204.61249204942462</v>
          </cell>
          <cell r="V290">
            <v>0</v>
          </cell>
          <cell r="W290">
            <v>0</v>
          </cell>
          <cell r="X290">
            <v>7366.0497137792863</v>
          </cell>
          <cell r="Y290">
            <v>7366.0497137792863</v>
          </cell>
          <cell r="Z290">
            <v>0</v>
          </cell>
          <cell r="AA290">
            <v>204.61249204942462</v>
          </cell>
          <cell r="AB290">
            <v>24.651405043854062</v>
          </cell>
          <cell r="AC290">
            <v>4</v>
          </cell>
          <cell r="AD290">
            <v>28.493551914508615</v>
          </cell>
          <cell r="AE290">
            <v>51.632913907126685</v>
          </cell>
          <cell r="AF290">
            <v>10.723925159823093</v>
          </cell>
          <cell r="AG290">
            <v>15.156480892549972</v>
          </cell>
          <cell r="AH290" t="str">
            <v>Mecánica</v>
          </cell>
          <cell r="AI290">
            <v>204.61249204942462</v>
          </cell>
          <cell r="AJ290">
            <v>4</v>
          </cell>
          <cell r="AK290">
            <v>51.153123012356154</v>
          </cell>
        </row>
        <row r="291">
          <cell r="A291" t="str">
            <v>C327</v>
          </cell>
          <cell r="B291" t="str">
            <v>COND</v>
          </cell>
          <cell r="C291" t="str">
            <v>WWOMMIM09090202900</v>
          </cell>
          <cell r="D291" t="str">
            <v>VENTANILLA, SANTA ROSA Y MALACAS</v>
          </cell>
          <cell r="E291" t="str">
            <v>RECUPERACIÓN FILTRO MANUAL COMB/ACEITE</v>
          </cell>
          <cell r="F291" t="str">
            <v>LA ACTIVIDAD CONTEMPLA LA PREPARACIÓN Y TRANSPORTE DE LOS MATERIALES, REPUESTOS Y HERRAMIENTAS NECESARIAS, TRANSPORTE A TALLER Y LIMPIEZA Y RECUPERACIÓN DEL FILTRO SUCIO. VERIFICACIÓN, RECOGIDA Y GESTIÓN DE RESIDUOS GENERADOS.</v>
          </cell>
          <cell r="G291" t="str">
            <v>MMIM0900</v>
          </cell>
          <cell r="H291" t="str">
            <v>NUM</v>
          </cell>
          <cell r="I291">
            <v>1</v>
          </cell>
          <cell r="J291">
            <v>2</v>
          </cell>
          <cell r="K291">
            <v>2</v>
          </cell>
          <cell r="L291">
            <v>4</v>
          </cell>
          <cell r="M291" t="str">
            <v>NO</v>
          </cell>
          <cell r="N291">
            <v>4</v>
          </cell>
          <cell r="O291">
            <v>3</v>
          </cell>
          <cell r="P291">
            <v>3</v>
          </cell>
          <cell r="Q291">
            <v>12</v>
          </cell>
          <cell r="R291">
            <v>9</v>
          </cell>
          <cell r="S291">
            <v>9</v>
          </cell>
          <cell r="T291">
            <v>171.27031766132998</v>
          </cell>
          <cell r="U291">
            <v>171.27031766132998</v>
          </cell>
          <cell r="V291">
            <v>171.27031766132998</v>
          </cell>
          <cell r="W291">
            <v>2055.2438119359599</v>
          </cell>
          <cell r="X291">
            <v>1541.4328589519698</v>
          </cell>
          <cell r="Y291">
            <v>3596.6766708879295</v>
          </cell>
          <cell r="Z291">
            <v>1541.4328589519698</v>
          </cell>
          <cell r="AA291">
            <v>171.27031766132998</v>
          </cell>
          <cell r="AB291">
            <v>19.171538486527368</v>
          </cell>
          <cell r="AC291">
            <v>4</v>
          </cell>
          <cell r="AD291">
            <v>27.951240855760062</v>
          </cell>
          <cell r="AE291">
            <v>44.969800919068597</v>
          </cell>
          <cell r="AF291">
            <v>8.9764317432562883</v>
          </cell>
          <cell r="AG291">
            <v>12.686690197135555</v>
          </cell>
          <cell r="AH291" t="str">
            <v>Mecánica</v>
          </cell>
          <cell r="AI291">
            <v>171.27031766132998</v>
          </cell>
          <cell r="AJ291">
            <v>4</v>
          </cell>
          <cell r="AK291">
            <v>42.817579415332496</v>
          </cell>
        </row>
        <row r="292">
          <cell r="A292" t="str">
            <v>P059</v>
          </cell>
          <cell r="B292" t="str">
            <v>PREV</v>
          </cell>
          <cell r="C292" t="str">
            <v>PEOMMIM0100MMFIL04</v>
          </cell>
          <cell r="D292" t="str">
            <v>SANTA ROSA Y MALACAS</v>
          </cell>
          <cell r="E292" t="str">
            <v>RECUPERACION FILTRO STRAINER GAS</v>
          </cell>
          <cell r="F292" t="str">
            <v>LA ACTIVIDAD CONTEMPLA LA PREPARACIÓN Y TRANSPORTE DE LOS MATERIALES, REPUESTOS Y HERRAMIENTAS NECESARIAS, TRANSPORTE A TALLER Y LIMPIEZA Y RECUPERACIÓN DEL FILTRO STRAINER SUCIO. VERIFICACIÓN, CAMBIO DE ELEMENTOS DE ESTANQUEIDAD, NORMALIZACION, VERIFICACION DE LA ESTANQUEIDAD, RECOGIDA Y GESTIÓN DE RESIDUOS GENERADOS.</v>
          </cell>
          <cell r="G292" t="str">
            <v>MMIM0100</v>
          </cell>
          <cell r="H292" t="str">
            <v>NUM</v>
          </cell>
          <cell r="I292">
            <v>1</v>
          </cell>
          <cell r="J292">
            <v>3</v>
          </cell>
          <cell r="K292">
            <v>2</v>
          </cell>
          <cell r="L292">
            <v>6</v>
          </cell>
          <cell r="M292" t="str">
            <v>NO</v>
          </cell>
          <cell r="N292">
            <v>0</v>
          </cell>
          <cell r="O292">
            <v>6</v>
          </cell>
          <cell r="P292">
            <v>6</v>
          </cell>
          <cell r="Q292">
            <v>0</v>
          </cell>
          <cell r="R292">
            <v>18</v>
          </cell>
          <cell r="S292">
            <v>18</v>
          </cell>
          <cell r="T292"/>
          <cell r="U292">
            <v>263.79743594644395</v>
          </cell>
          <cell r="V292">
            <v>263.79743594644395</v>
          </cell>
          <cell r="W292">
            <v>0</v>
          </cell>
          <cell r="X292">
            <v>4748.3538470359908</v>
          </cell>
          <cell r="Y292">
            <v>4748.3538470359908</v>
          </cell>
          <cell r="Z292">
            <v>4748.3538470359908</v>
          </cell>
          <cell r="AA292">
            <v>263.79743594644395</v>
          </cell>
          <cell r="AB292">
            <v>19.171538486527368</v>
          </cell>
          <cell r="AC292">
            <v>6</v>
          </cell>
          <cell r="AD292">
            <v>41.037713822462436</v>
          </cell>
          <cell r="AE292">
            <v>74.364078971200001</v>
          </cell>
          <cell r="AF292">
            <v>13.825861422769597</v>
          </cell>
          <cell r="AG292">
            <v>19.540550810847698</v>
          </cell>
          <cell r="AH292" t="str">
            <v>Mecánica</v>
          </cell>
          <cell r="AI292">
            <v>263.79743594644395</v>
          </cell>
          <cell r="AJ292">
            <v>6</v>
          </cell>
          <cell r="AK292">
            <v>43.966239324407326</v>
          </cell>
        </row>
        <row r="293">
          <cell r="A293" t="str">
            <v>P060</v>
          </cell>
          <cell r="B293" t="str">
            <v>PREV</v>
          </cell>
          <cell r="C293" t="str">
            <v>PEOMMIM0100MMFIL05</v>
          </cell>
          <cell r="D293" t="str">
            <v>SANTA ROSA Y MALACAS</v>
          </cell>
          <cell r="E293" t="str">
            <v>RECUPERACION FILTRO STRAINER DE FLUIDO</v>
          </cell>
          <cell r="F293" t="str">
            <v>LA ACTIVIDAD CONTEMPLA LA PREPARACIÓN Y TRANSPORTE DE LOS MATERIALES, REPUESTOS Y HERRAMIENTAS NECESARIAS, TRANSPORTE A TALLER Y LIMPIEZA Y RECUPERACIÓN DEL FILTRO STRAINER SUCIO DE FLUIDOS. VERIFICACIÓN, CAMBIO DE ELEMENTOS DE ESTANQUEIDAD, NORMALIZACION, VERIFICACION DE LA ESTANQUEIDAD, RECOGIDA Y GESTIÓN DE RESIDUOS GENERADOS.</v>
          </cell>
          <cell r="G293" t="str">
            <v>MMIM0100</v>
          </cell>
          <cell r="H293" t="str">
            <v>NUM</v>
          </cell>
          <cell r="I293">
            <v>1</v>
          </cell>
          <cell r="J293">
            <v>3</v>
          </cell>
          <cell r="K293">
            <v>2</v>
          </cell>
          <cell r="L293">
            <v>6</v>
          </cell>
          <cell r="M293" t="str">
            <v>NO</v>
          </cell>
          <cell r="N293">
            <v>0</v>
          </cell>
          <cell r="O293">
            <v>17</v>
          </cell>
          <cell r="P293">
            <v>6</v>
          </cell>
          <cell r="Q293">
            <v>0</v>
          </cell>
          <cell r="R293">
            <v>51</v>
          </cell>
          <cell r="S293">
            <v>18</v>
          </cell>
          <cell r="T293"/>
          <cell r="U293">
            <v>263.7974359464439</v>
          </cell>
          <cell r="V293">
            <v>263.7974359464439</v>
          </cell>
          <cell r="W293">
            <v>0</v>
          </cell>
          <cell r="X293">
            <v>13453.669233268638</v>
          </cell>
          <cell r="Y293">
            <v>13453.669233268638</v>
          </cell>
          <cell r="Z293">
            <v>4748.3538470359899</v>
          </cell>
          <cell r="AA293">
            <v>263.7974359464439</v>
          </cell>
          <cell r="AB293">
            <v>19.171538486527368</v>
          </cell>
          <cell r="AC293">
            <v>6</v>
          </cell>
          <cell r="AD293">
            <v>41.037713822462415</v>
          </cell>
          <cell r="AE293">
            <v>74.364078971199959</v>
          </cell>
          <cell r="AF293">
            <v>13.825861422769593</v>
          </cell>
          <cell r="AG293">
            <v>19.540550810847694</v>
          </cell>
          <cell r="AH293" t="str">
            <v>Mecánica</v>
          </cell>
          <cell r="AI293">
            <v>263.7974359464439</v>
          </cell>
          <cell r="AJ293">
            <v>6</v>
          </cell>
          <cell r="AK293">
            <v>43.966239324407319</v>
          </cell>
        </row>
        <row r="294">
          <cell r="A294" t="str">
            <v>C326</v>
          </cell>
          <cell r="B294" t="str">
            <v>COND</v>
          </cell>
          <cell r="C294" t="str">
            <v>WWOMMIM09090203100</v>
          </cell>
          <cell r="D294" t="str">
            <v>VENTANILLA, SANTA ROSA Y MALACAS</v>
          </cell>
          <cell r="E294" t="str">
            <v>RECUPERACIÓN FILTRO AUTOMAT COMB/ACEITE</v>
          </cell>
          <cell r="F294" t="str">
            <v>LA ACTIVIDAD CONTEMPLA LA PREPARACIÓN Y TRANSPORTE DE LOS MATERIALES, REPUESTOS Y HERRAMIENTAS NECESARIAS, TRANSPORTE A TALLER Y LIMPIEZA Y RECUPERACIÓN DEL CARTUCHO DE FILTROS SUCIOS. VERIFICACIÓN, RECOGIDA Y GESTIÓN DE RESIDUOS GENERADOS.</v>
          </cell>
          <cell r="G294" t="str">
            <v>MMIM0900</v>
          </cell>
          <cell r="H294" t="str">
            <v>NUM</v>
          </cell>
          <cell r="I294">
            <v>1</v>
          </cell>
          <cell r="J294">
            <v>3</v>
          </cell>
          <cell r="K294">
            <v>2</v>
          </cell>
          <cell r="L294">
            <v>6</v>
          </cell>
          <cell r="M294" t="str">
            <v>NO</v>
          </cell>
          <cell r="N294">
            <v>4</v>
          </cell>
          <cell r="O294">
            <v>3</v>
          </cell>
          <cell r="P294">
            <v>3</v>
          </cell>
          <cell r="Q294">
            <v>12</v>
          </cell>
          <cell r="R294">
            <v>9</v>
          </cell>
          <cell r="S294">
            <v>9</v>
          </cell>
          <cell r="T294">
            <v>256.90547649199482</v>
          </cell>
          <cell r="U294">
            <v>256.90547649199482</v>
          </cell>
          <cell r="V294">
            <v>256.90547649199482</v>
          </cell>
          <cell r="W294">
            <v>3082.8657179039378</v>
          </cell>
          <cell r="X294">
            <v>2312.1492884279533</v>
          </cell>
          <cell r="Y294">
            <v>5395.0150063318906</v>
          </cell>
          <cell r="Z294">
            <v>2312.1492884279533</v>
          </cell>
          <cell r="AA294">
            <v>256.90547649199482</v>
          </cell>
          <cell r="AB294">
            <v>19.171538486527368</v>
          </cell>
          <cell r="AC294">
            <v>6</v>
          </cell>
          <cell r="AD294">
            <v>41.926861283640037</v>
          </cell>
          <cell r="AE294">
            <v>67.454701378602806</v>
          </cell>
          <cell r="AF294">
            <v>13.464647614884424</v>
          </cell>
          <cell r="AG294">
            <v>19.030035295703321</v>
          </cell>
          <cell r="AH294" t="str">
            <v>Mecánica</v>
          </cell>
          <cell r="AI294">
            <v>256.90547649199482</v>
          </cell>
          <cell r="AJ294">
            <v>6</v>
          </cell>
          <cell r="AK294">
            <v>42.817579415332467</v>
          </cell>
        </row>
        <row r="295">
          <cell r="A295" t="str">
            <v>P061</v>
          </cell>
          <cell r="B295" t="str">
            <v>PREV</v>
          </cell>
          <cell r="C295" t="str">
            <v>PEOMMIM0100MMFIL08</v>
          </cell>
          <cell r="D295" t="str">
            <v>SANTA ROSA Y MALACAS</v>
          </cell>
          <cell r="E295" t="str">
            <v>SUSTITUCION FILTRO GAS COMANDO TURBINA</v>
          </cell>
          <cell r="F295" t="str">
            <v>LA ACTIVIDAD CONTEMPLA LA PREPARACIÓN Y TRANSPORTE DE LOS MATERIALES, REPUESTOS Y HERRAMIENTAS NECESARIAS, RETIRADA DE FILTRO DE GAS, MONTAJE DEL NUEVO, REAPRIETE DEL FILTRO, CAMBIO DE ELEMENTO DE ESTANQUEIDAD. VERIFICACIÓN DE AUSENCIA DE FUGAS Y CORRECTO FUNCIÓNAMIENTO DEL SISTEMA. RECOGIDA Y GESTIÓN DE RESIDUOS GENERADOS.</v>
          </cell>
          <cell r="G295" t="str">
            <v>MMIM0100</v>
          </cell>
          <cell r="H295" t="str">
            <v>NUM</v>
          </cell>
          <cell r="I295">
            <v>1</v>
          </cell>
          <cell r="J295">
            <v>3</v>
          </cell>
          <cell r="K295">
            <v>3</v>
          </cell>
          <cell r="L295">
            <v>9</v>
          </cell>
          <cell r="M295" t="str">
            <v>SI</v>
          </cell>
          <cell r="N295">
            <v>0</v>
          </cell>
          <cell r="O295">
            <v>5</v>
          </cell>
          <cell r="P295">
            <v>6</v>
          </cell>
          <cell r="Q295">
            <v>0</v>
          </cell>
          <cell r="R295">
            <v>15</v>
          </cell>
          <cell r="S295">
            <v>18</v>
          </cell>
          <cell r="T295"/>
          <cell r="U295">
            <v>422.13062727413308</v>
          </cell>
          <cell r="V295">
            <v>422.13062727413308</v>
          </cell>
          <cell r="W295">
            <v>0</v>
          </cell>
          <cell r="X295">
            <v>6331.9594091119961</v>
          </cell>
          <cell r="Y295">
            <v>6331.9594091119961</v>
          </cell>
          <cell r="Z295">
            <v>7598.3512909343954</v>
          </cell>
          <cell r="AA295">
            <v>422.13062727413308</v>
          </cell>
          <cell r="AB295">
            <v>21.533127692412709</v>
          </cell>
          <cell r="AC295">
            <v>9</v>
          </cell>
          <cell r="AD295">
            <v>62.209681416428097</v>
          </cell>
          <cell r="AE295">
            <v>112.72961455987031</v>
          </cell>
          <cell r="AF295">
            <v>22.124246712480765</v>
          </cell>
          <cell r="AG295">
            <v>31.268935353639485</v>
          </cell>
          <cell r="AH295" t="str">
            <v>Mecánica</v>
          </cell>
          <cell r="AI295">
            <v>422.13062727413308</v>
          </cell>
          <cell r="AJ295">
            <v>9</v>
          </cell>
          <cell r="AK295">
            <v>46.903403030459231</v>
          </cell>
        </row>
        <row r="296">
          <cell r="A296" t="str">
            <v>P094</v>
          </cell>
          <cell r="B296" t="str">
            <v>PREV</v>
          </cell>
          <cell r="C296" t="str">
            <v>WWOMMIM09090202800</v>
          </cell>
          <cell r="D296" t="str">
            <v>SANTA ROSA Y MALACAS</v>
          </cell>
          <cell r="E296" t="str">
            <v>SUSTITUCIÓN FILTRO MANUAL COMB/ACEITE</v>
          </cell>
          <cell r="F296" t="str">
            <v>LA ACTIVIDAD CONTEMPLA LA PREPARACIÓN Y TRANSPORTE DE LOS MATERIALES, REPUESTOS Y HERRAMIENTAS NECESARIAS, RETIRADA DE CARTUCHO SUCIO Y MONTAJE DEL NUEVO, REAPRIETE DEL CARTUCHO. VERIFICACIÓN DE AUSENCIA DE FUGAS Y CORRECTO FUNCIÓNAMIENTO DEL SISTEMA. RECOGIDA Y GESTIÓN DE RESIDUOS GENERADOS.</v>
          </cell>
          <cell r="G296" t="str">
            <v>MMIM0909</v>
          </cell>
          <cell r="H296" t="str">
            <v>NUM</v>
          </cell>
          <cell r="I296">
            <v>1</v>
          </cell>
          <cell r="J296">
            <v>1</v>
          </cell>
          <cell r="K296">
            <v>2</v>
          </cell>
          <cell r="L296">
            <v>2</v>
          </cell>
          <cell r="M296" t="str">
            <v>SI</v>
          </cell>
          <cell r="N296">
            <v>0</v>
          </cell>
          <cell r="O296">
            <v>4</v>
          </cell>
          <cell r="P296">
            <v>2</v>
          </cell>
          <cell r="Q296">
            <v>0</v>
          </cell>
          <cell r="R296">
            <v>12</v>
          </cell>
          <cell r="S296">
            <v>6</v>
          </cell>
          <cell r="T296"/>
          <cell r="U296">
            <v>87.932478648814737</v>
          </cell>
          <cell r="V296">
            <v>87.932478648814737</v>
          </cell>
          <cell r="W296">
            <v>0</v>
          </cell>
          <cell r="X296">
            <v>1055.189743785777</v>
          </cell>
          <cell r="Y296">
            <v>1055.189743785777</v>
          </cell>
          <cell r="Z296">
            <v>527.59487189288848</v>
          </cell>
          <cell r="AA296">
            <v>87.932478648814737</v>
          </cell>
          <cell r="AB296">
            <v>19.171538486527368</v>
          </cell>
          <cell r="AC296">
            <v>2</v>
          </cell>
          <cell r="AD296">
            <v>13.679237940820835</v>
          </cell>
          <cell r="AE296">
            <v>24.788026323733376</v>
          </cell>
          <cell r="AF296">
            <v>4.6086204742565373</v>
          </cell>
          <cell r="AG296">
            <v>6.5135169369492392</v>
          </cell>
          <cell r="AH296" t="str">
            <v>Mecánica</v>
          </cell>
          <cell r="AI296">
            <v>87.932478648814737</v>
          </cell>
          <cell r="AJ296">
            <v>2</v>
          </cell>
          <cell r="AK296">
            <v>43.966239324407368</v>
          </cell>
        </row>
        <row r="297">
          <cell r="A297" t="str">
            <v>C333</v>
          </cell>
          <cell r="B297" t="str">
            <v>COND</v>
          </cell>
          <cell r="C297" t="str">
            <v>WWOMMIM09090202800</v>
          </cell>
          <cell r="D297" t="str">
            <v>VENTANILLA, SANTA ROSA Y MALACAS</v>
          </cell>
          <cell r="E297" t="str">
            <v>SUSTITUCIÓN FILTRO MANUAL COMB/ACEITE</v>
          </cell>
          <cell r="F297" t="str">
            <v>LA ACTIVIDAD CONTEMPLA LA PREPARACIÓN Y TRANSPORTE DE LOS MATERIALES, REPUESTOS Y HERRAMIENTAS NECESARIAS, RETIRADA DE CARTUCHO SUCIO Y MONTAJE DEL NUEVO, REAPRIETE DEL CARTUCHO. VERIFICACIÓN DE AUSENCIA DE FUGAS Y CORRECTO FUNCIÓNAMIENTO DEL SISTEMA. RECOGIDA Y GESTIÓN DE RESIDUOS GENERADOS.</v>
          </cell>
          <cell r="G297" t="str">
            <v>MMIM0900</v>
          </cell>
          <cell r="H297" t="str">
            <v>NUM</v>
          </cell>
          <cell r="I297">
            <v>1</v>
          </cell>
          <cell r="J297">
            <v>1</v>
          </cell>
          <cell r="K297">
            <v>2</v>
          </cell>
          <cell r="L297">
            <v>2</v>
          </cell>
          <cell r="M297" t="str">
            <v>SI</v>
          </cell>
          <cell r="N297">
            <v>1</v>
          </cell>
          <cell r="O297">
            <v>1</v>
          </cell>
          <cell r="P297">
            <v>1</v>
          </cell>
          <cell r="Q297">
            <v>3</v>
          </cell>
          <cell r="R297">
            <v>3</v>
          </cell>
          <cell r="S297">
            <v>3</v>
          </cell>
          <cell r="T297">
            <v>85.635158830664921</v>
          </cell>
          <cell r="U297">
            <v>85.635158830664921</v>
          </cell>
          <cell r="V297">
            <v>85.635158830664921</v>
          </cell>
          <cell r="W297">
            <v>256.90547649199476</v>
          </cell>
          <cell r="X297">
            <v>256.90547649199476</v>
          </cell>
          <cell r="Y297">
            <v>513.81095298398952</v>
          </cell>
          <cell r="Z297">
            <v>256.90547649199476</v>
          </cell>
          <cell r="AA297">
            <v>85.635158830664921</v>
          </cell>
          <cell r="AB297">
            <v>19.171538486527368</v>
          </cell>
          <cell r="AC297">
            <v>2</v>
          </cell>
          <cell r="AD297">
            <v>13.975620427880012</v>
          </cell>
          <cell r="AE297">
            <v>22.484900459534266</v>
          </cell>
          <cell r="AF297">
            <v>4.4882158716281406</v>
          </cell>
          <cell r="AG297">
            <v>6.3433450985677728</v>
          </cell>
          <cell r="AH297" t="str">
            <v>Mecánica</v>
          </cell>
          <cell r="AI297">
            <v>85.635158830664921</v>
          </cell>
          <cell r="AJ297">
            <v>2</v>
          </cell>
          <cell r="AK297">
            <v>42.81757941533246</v>
          </cell>
        </row>
        <row r="298">
          <cell r="A298" t="str">
            <v>C328</v>
          </cell>
          <cell r="B298" t="str">
            <v>COND</v>
          </cell>
          <cell r="C298" t="str">
            <v>WWOMMIM09090200100</v>
          </cell>
          <cell r="D298" t="str">
            <v>VENTANILLA, SANTA ROSA Y MALACAS</v>
          </cell>
          <cell r="E298" t="str">
            <v>REPOSICIÓN ACEITE REGULADOR DE VELOCIDAD</v>
          </cell>
          <cell r="F298" t="str">
            <v>LA ACTIVIDAD CONTEMPLA LA PREPARACIÓN Y TRANSPORTE DE LOS MATERIALES, REPUESTOS Y HERRAMIENTAS NECESARIAS, REPONER ACEITE AL REGULADOR DE VELOCIDAD DEJANDO EL NIVEL ENTRE LAS SEÑALES DE MÁXIMO Y MÍNIMO. INCLUYE PURGADO DEL REGULADOR Y COMPROBACIÓN. RECOGIDA DE LA ZONA DE TRABAJO Y GESTIÓN DE LOS RESIDUOS GENERADOS.</v>
          </cell>
          <cell r="G298" t="str">
            <v>MMIM0900</v>
          </cell>
          <cell r="H298" t="str">
            <v>NUM</v>
          </cell>
          <cell r="I298">
            <v>1</v>
          </cell>
          <cell r="J298">
            <v>3</v>
          </cell>
          <cell r="K298">
            <v>2</v>
          </cell>
          <cell r="L298">
            <v>6</v>
          </cell>
          <cell r="M298" t="str">
            <v>NO</v>
          </cell>
          <cell r="N298">
            <v>4</v>
          </cell>
          <cell r="O298">
            <v>3</v>
          </cell>
          <cell r="P298">
            <v>3</v>
          </cell>
          <cell r="Q298">
            <v>12</v>
          </cell>
          <cell r="R298">
            <v>9</v>
          </cell>
          <cell r="S298">
            <v>9</v>
          </cell>
          <cell r="T298">
            <v>269.5361456504254</v>
          </cell>
          <cell r="U298">
            <v>269.5361456504254</v>
          </cell>
          <cell r="V298">
            <v>269.5361456504254</v>
          </cell>
          <cell r="W298">
            <v>3234.4337478051048</v>
          </cell>
          <cell r="X298">
            <v>2425.8253108538283</v>
          </cell>
          <cell r="Y298">
            <v>5660.2590586589331</v>
          </cell>
          <cell r="Z298">
            <v>2425.8253108538283</v>
          </cell>
          <cell r="AA298">
            <v>269.5361456504254</v>
          </cell>
          <cell r="AB298">
            <v>20.776439546856693</v>
          </cell>
          <cell r="AC298">
            <v>6</v>
          </cell>
          <cell r="AD298">
            <v>42.464900768916195</v>
          </cell>
          <cell r="AE298">
            <v>68.32033481020342</v>
          </cell>
          <cell r="AF298">
            <v>14.126632371615585</v>
          </cell>
          <cell r="AG298">
            <v>19.965640418550031</v>
          </cell>
          <cell r="AH298" t="str">
            <v>Mecánica</v>
          </cell>
          <cell r="AI298">
            <v>269.5361456504254</v>
          </cell>
          <cell r="AJ298">
            <v>6</v>
          </cell>
          <cell r="AK298">
            <v>44.922690941737564</v>
          </cell>
        </row>
        <row r="299">
          <cell r="A299" t="str">
            <v>C267</v>
          </cell>
          <cell r="B299" t="str">
            <v>COND</v>
          </cell>
          <cell r="C299" t="str">
            <v>WWOMMIM01060603500</v>
          </cell>
          <cell r="D299" t="str">
            <v>VENTANILLA, SANTA ROSA Y MALACAS</v>
          </cell>
          <cell r="E299" t="str">
            <v>REVISAR Y LIMPIAR MIRILLAS</v>
          </cell>
          <cell r="F299" t="str">
            <v>LA ACTIVIDAD CONTEMPLA LA PREPARACIÓN Y TRANSPORTE DE LOS MATERIALES, REPUESTOS Y HERRAMIENTAS NECESARIAS, APERTURA, LIMPIEZA DE MIRILLA Y DE ASIENTOS DE ESTANQUIEDAD, REVISIÓN DE LA BISAGRA, SOPORTACIÓN Y CIERRE. CONSTRUCCIÓN Y ADECUACIÓN JUNTAS. CIERRE DE LA MIRILLA.</v>
          </cell>
          <cell r="G299" t="str">
            <v>MMIM0100</v>
          </cell>
          <cell r="H299" t="str">
            <v>NUM</v>
          </cell>
          <cell r="I299">
            <v>1</v>
          </cell>
          <cell r="J299">
            <v>2</v>
          </cell>
          <cell r="K299">
            <v>2</v>
          </cell>
          <cell r="L299">
            <v>4</v>
          </cell>
          <cell r="M299" t="str">
            <v>NO</v>
          </cell>
          <cell r="N299">
            <v>4</v>
          </cell>
          <cell r="O299">
            <v>3</v>
          </cell>
          <cell r="P299">
            <v>3</v>
          </cell>
          <cell r="Q299">
            <v>12</v>
          </cell>
          <cell r="R299">
            <v>9</v>
          </cell>
          <cell r="S299">
            <v>9</v>
          </cell>
          <cell r="T299">
            <v>171.27031766132998</v>
          </cell>
          <cell r="U299">
            <v>171.27031766132998</v>
          </cell>
          <cell r="V299">
            <v>171.27031766132998</v>
          </cell>
          <cell r="W299">
            <v>2055.2438119359599</v>
          </cell>
          <cell r="X299">
            <v>1541.4328589519698</v>
          </cell>
          <cell r="Y299">
            <v>3596.6766708879295</v>
          </cell>
          <cell r="Z299">
            <v>1541.4328589519698</v>
          </cell>
          <cell r="AA299">
            <v>171.27031766132998</v>
          </cell>
          <cell r="AB299">
            <v>19.171538486527368</v>
          </cell>
          <cell r="AC299">
            <v>4</v>
          </cell>
          <cell r="AD299">
            <v>27.951240855760062</v>
          </cell>
          <cell r="AE299">
            <v>44.969800919068597</v>
          </cell>
          <cell r="AF299">
            <v>8.9764317432562883</v>
          </cell>
          <cell r="AG299">
            <v>12.686690197135555</v>
          </cell>
          <cell r="AH299" t="str">
            <v>Mecánica</v>
          </cell>
          <cell r="AI299">
            <v>171.27031766132998</v>
          </cell>
          <cell r="AJ299">
            <v>4</v>
          </cell>
          <cell r="AK299">
            <v>42.817579415332496</v>
          </cell>
        </row>
        <row r="300">
          <cell r="A300" t="str">
            <v>P095</v>
          </cell>
          <cell r="B300" t="str">
            <v>PREV</v>
          </cell>
          <cell r="C300" t="str">
            <v>WWOMMIM09090204200</v>
          </cell>
          <cell r="D300" t="str">
            <v>SANTA ROSA Y MALACAS</v>
          </cell>
          <cell r="E300" t="str">
            <v>SUSTITUCIÓN FILTRO ASPIRACIÓN TURBOCOMP</v>
          </cell>
          <cell r="F300" t="str">
            <v>LA ACTIVIDAD CONTEMPLA LA PREPARACIÓN Y TRANSPORTE DE LOS MATERIALES Y HERRAMIENTAS NECESARIAS, SUSTITUCIÓN DE LA MALLA FILTRANTE DE LA ASPIRACIÓN DE AIRE DEL TURBOCOMPRESOR. REPOSICIÓN DEL SISTEMA, RETIRADA Y GESTIÓN DE LOS RESIDUOS GENERADOS Y COMPROBACIÓN.</v>
          </cell>
          <cell r="G300" t="str">
            <v>MMIM0909</v>
          </cell>
          <cell r="H300" t="str">
            <v>NUM</v>
          </cell>
          <cell r="I300">
            <v>1</v>
          </cell>
          <cell r="J300">
            <v>1</v>
          </cell>
          <cell r="K300">
            <v>2</v>
          </cell>
          <cell r="L300">
            <v>2</v>
          </cell>
          <cell r="M300" t="str">
            <v>SI</v>
          </cell>
          <cell r="N300">
            <v>0</v>
          </cell>
          <cell r="O300">
            <v>3</v>
          </cell>
          <cell r="P300">
            <v>3</v>
          </cell>
          <cell r="Q300">
            <v>0</v>
          </cell>
          <cell r="R300">
            <v>9</v>
          </cell>
          <cell r="S300">
            <v>9</v>
          </cell>
          <cell r="T300"/>
          <cell r="U300">
            <v>101.34523783231577</v>
          </cell>
          <cell r="V300">
            <v>101.34523783231577</v>
          </cell>
          <cell r="W300">
            <v>0</v>
          </cell>
          <cell r="X300">
            <v>912.10714049084197</v>
          </cell>
          <cell r="Y300">
            <v>912.10714049084197</v>
          </cell>
          <cell r="Z300">
            <v>912.10714049084197</v>
          </cell>
          <cell r="AA300">
            <v>101.34523783231577</v>
          </cell>
          <cell r="AB300">
            <v>24.651405043854062</v>
          </cell>
          <cell r="AC300">
            <v>2</v>
          </cell>
          <cell r="AD300">
            <v>13.948259642138416</v>
          </cell>
          <cell r="AE300">
            <v>25.275518173993245</v>
          </cell>
          <cell r="AF300">
            <v>5.3115952742303865</v>
          </cell>
          <cell r="AG300">
            <v>7.5070546542456134</v>
          </cell>
          <cell r="AH300" t="str">
            <v>Mecánica</v>
          </cell>
          <cell r="AI300">
            <v>101.34523783231577</v>
          </cell>
          <cell r="AJ300">
            <v>2</v>
          </cell>
          <cell r="AK300">
            <v>50.672618916157887</v>
          </cell>
        </row>
        <row r="301">
          <cell r="A301" t="str">
            <v>C332</v>
          </cell>
          <cell r="B301" t="str">
            <v>COND</v>
          </cell>
          <cell r="C301" t="str">
            <v>WWOMMIM09090204200</v>
          </cell>
          <cell r="D301" t="str">
            <v>VENTANILLA, SANTA ROSA Y MALACAS</v>
          </cell>
          <cell r="E301" t="str">
            <v>SUSTITUCIÓN FILTRO ASPIRACIÓN TURBOCOMP</v>
          </cell>
          <cell r="F301" t="str">
            <v>LA ACTIVIDAD CONTEMPLA LA PREPARACIÓN Y TRANSPORTE DE LOS MATERIALES Y HERRAMIENTAS NECESARIAS, SUSTITUCIÓN DE LA MALLA FILTRANTE DE LA ASPIRACIÓN DE AIRE DEL TURBOCOMPRESOR. REPOSICIÓN DEL SISTEMA, RETIRADA Y GESTIÓN DE LOS RESIDUOS GENERADOS Y COMPROBACIÓN.</v>
          </cell>
          <cell r="G301" t="str">
            <v>MMIM0900</v>
          </cell>
          <cell r="H301" t="str">
            <v>NUM</v>
          </cell>
          <cell r="I301">
            <v>1</v>
          </cell>
          <cell r="J301">
            <v>1</v>
          </cell>
          <cell r="K301">
            <v>2</v>
          </cell>
          <cell r="L301">
            <v>2</v>
          </cell>
          <cell r="M301" t="str">
            <v>SI</v>
          </cell>
          <cell r="N301">
            <v>1</v>
          </cell>
          <cell r="O301">
            <v>1</v>
          </cell>
          <cell r="P301">
            <v>1</v>
          </cell>
          <cell r="Q301">
            <v>3</v>
          </cell>
          <cell r="R301">
            <v>3</v>
          </cell>
          <cell r="S301">
            <v>3</v>
          </cell>
          <cell r="T301">
            <v>85.635158830664992</v>
          </cell>
          <cell r="U301">
            <v>85.635158830664992</v>
          </cell>
          <cell r="V301">
            <v>85.635158830664992</v>
          </cell>
          <cell r="W301">
            <v>256.90547649199499</v>
          </cell>
          <cell r="X301">
            <v>256.90547649199499</v>
          </cell>
          <cell r="Y301">
            <v>513.81095298398998</v>
          </cell>
          <cell r="Z301">
            <v>256.90547649199499</v>
          </cell>
          <cell r="AA301">
            <v>85.635158830664992</v>
          </cell>
          <cell r="AB301">
            <v>19.171538486527368</v>
          </cell>
          <cell r="AC301">
            <v>2</v>
          </cell>
          <cell r="AD301">
            <v>13.975620427880031</v>
          </cell>
          <cell r="AE301">
            <v>22.484900459534298</v>
          </cell>
          <cell r="AF301">
            <v>4.4882158716281442</v>
          </cell>
          <cell r="AG301">
            <v>6.3433450985677773</v>
          </cell>
          <cell r="AH301" t="str">
            <v>Mecánica</v>
          </cell>
          <cell r="AI301">
            <v>85.635158830664992</v>
          </cell>
          <cell r="AJ301">
            <v>2</v>
          </cell>
          <cell r="AK301">
            <v>42.817579415332496</v>
          </cell>
        </row>
        <row r="302">
          <cell r="A302" t="str">
            <v>C329</v>
          </cell>
          <cell r="B302" t="str">
            <v>COND</v>
          </cell>
          <cell r="C302" t="str">
            <v>WWOMMIM09090204500</v>
          </cell>
          <cell r="D302" t="str">
            <v>VENTANILLA, SANTA ROSA Y MALACAS</v>
          </cell>
          <cell r="E302" t="str">
            <v>REPOSICIÓN NIVEL ACEITE TURBO</v>
          </cell>
          <cell r="F302" t="str">
            <v>LA ACTIVIDAD CONTEMPLA LA PREPARACIÓN Y TRANSPORTE DE LOS MATERIALES Y HERRAMIENTAS NECESARIAS, LLENADO O SUSTITUCIÓN DE ACEITE AL DEPÓSITO MANTENIÉNDOLO ENTRE LOS NIVELES BAJO Y ALTO. RETIRADA Y GESTIÓN DE LOS RESIDUOS GENERADOS. COMPROBACIÓN DE LA INTERVENCIÓN.</v>
          </cell>
          <cell r="G302" t="str">
            <v>MMIM0900</v>
          </cell>
          <cell r="H302" t="str">
            <v>NUM</v>
          </cell>
          <cell r="I302">
            <v>1</v>
          </cell>
          <cell r="J302">
            <v>3</v>
          </cell>
          <cell r="K302">
            <v>2</v>
          </cell>
          <cell r="L302">
            <v>6</v>
          </cell>
          <cell r="M302" t="str">
            <v>NO</v>
          </cell>
          <cell r="N302">
            <v>4</v>
          </cell>
          <cell r="O302">
            <v>3</v>
          </cell>
          <cell r="P302">
            <v>3</v>
          </cell>
          <cell r="Q302">
            <v>12</v>
          </cell>
          <cell r="R302">
            <v>9</v>
          </cell>
          <cell r="S302">
            <v>9</v>
          </cell>
          <cell r="T302">
            <v>256.90547649199482</v>
          </cell>
          <cell r="U302">
            <v>256.90547649199482</v>
          </cell>
          <cell r="V302">
            <v>256.90547649199482</v>
          </cell>
          <cell r="W302">
            <v>3082.8657179039378</v>
          </cell>
          <cell r="X302">
            <v>2312.1492884279533</v>
          </cell>
          <cell r="Y302">
            <v>5395.0150063318906</v>
          </cell>
          <cell r="Z302">
            <v>2312.1492884279533</v>
          </cell>
          <cell r="AA302">
            <v>256.90547649199482</v>
          </cell>
          <cell r="AB302">
            <v>19.171538486527368</v>
          </cell>
          <cell r="AC302">
            <v>6</v>
          </cell>
          <cell r="AD302">
            <v>41.926861283640037</v>
          </cell>
          <cell r="AE302">
            <v>67.454701378602806</v>
          </cell>
          <cell r="AF302">
            <v>13.464647614884424</v>
          </cell>
          <cell r="AG302">
            <v>19.030035295703321</v>
          </cell>
          <cell r="AH302" t="str">
            <v>Mecánica</v>
          </cell>
          <cell r="AI302">
            <v>256.90547649199482</v>
          </cell>
          <cell r="AJ302">
            <v>6</v>
          </cell>
          <cell r="AK302">
            <v>42.817579415332467</v>
          </cell>
        </row>
        <row r="303">
          <cell r="A303" t="str">
            <v>C270</v>
          </cell>
          <cell r="B303" t="str">
            <v>COND</v>
          </cell>
          <cell r="C303" t="str">
            <v>WWOMMIM01060603700</v>
          </cell>
          <cell r="D303" t="str">
            <v>VENTANILLA, SANTA ROSA Y MALACAS</v>
          </cell>
          <cell r="E303" t="str">
            <v>SANEAR EMBUDO Y LÍNEA DE DRENAJES</v>
          </cell>
          <cell r="F303" t="str">
            <v>LA ACTIVIDAD CONTEMPLA LA PREPARACIÓN Y TRANSPORTE DE LOS MATERIALES Y HERRAMIENTAS NECESARIAS, DESATORO DE LOS EMBUDOS Y TUBERÍAS DE DRENAJE CON AIRE COMPRIMIDO CON MEDIOS MECÁNICOS U OTROS. INCLUYE LA POSTERIOR LIMPIEZA Y RECOGIDA DE LA ZONA DE TRABAJO ASÍ COMO LA GESTIÓN DE RESIDUOS GENERADOS.</v>
          </cell>
          <cell r="G303" t="str">
            <v>MMIM0100</v>
          </cell>
          <cell r="H303" t="str">
            <v>NUM</v>
          </cell>
          <cell r="I303">
            <v>1</v>
          </cell>
          <cell r="J303">
            <v>4</v>
          </cell>
          <cell r="K303">
            <v>2</v>
          </cell>
          <cell r="L303">
            <v>8</v>
          </cell>
          <cell r="M303" t="str">
            <v>NO</v>
          </cell>
          <cell r="N303">
            <v>4</v>
          </cell>
          <cell r="O303">
            <v>3</v>
          </cell>
          <cell r="P303">
            <v>3</v>
          </cell>
          <cell r="Q303">
            <v>12</v>
          </cell>
          <cell r="R303">
            <v>9</v>
          </cell>
          <cell r="S303">
            <v>9</v>
          </cell>
          <cell r="T303">
            <v>342.54063532265997</v>
          </cell>
          <cell r="U303">
            <v>342.54063532265997</v>
          </cell>
          <cell r="V303">
            <v>342.54063532265997</v>
          </cell>
          <cell r="W303">
            <v>4110.4876238719198</v>
          </cell>
          <cell r="X303">
            <v>3082.8657179039396</v>
          </cell>
          <cell r="Y303">
            <v>7193.353341775859</v>
          </cell>
          <cell r="Z303">
            <v>3082.8657179039396</v>
          </cell>
          <cell r="AA303">
            <v>342.54063532265997</v>
          </cell>
          <cell r="AB303">
            <v>19.171538486527368</v>
          </cell>
          <cell r="AC303">
            <v>8</v>
          </cell>
          <cell r="AD303">
            <v>55.902481711520117</v>
          </cell>
          <cell r="AE303">
            <v>89.939601838137179</v>
          </cell>
          <cell r="AF303">
            <v>17.952863486512577</v>
          </cell>
          <cell r="AG303">
            <v>25.373380394271109</v>
          </cell>
          <cell r="AH303" t="str">
            <v>Mecánica</v>
          </cell>
          <cell r="AI303">
            <v>342.54063532265997</v>
          </cell>
          <cell r="AJ303">
            <v>8</v>
          </cell>
          <cell r="AK303">
            <v>42.817579415332496</v>
          </cell>
        </row>
        <row r="304">
          <cell r="A304" t="str">
            <v>C323</v>
          </cell>
          <cell r="B304" t="str">
            <v>COND</v>
          </cell>
          <cell r="C304" t="str">
            <v>WWOMMIM09090201700</v>
          </cell>
          <cell r="D304" t="str">
            <v>VENTANILLA, SANTA ROSA Y MALACAS</v>
          </cell>
          <cell r="E304" t="str">
            <v>DESATORO EMBUDOS DE RECHAZOS</v>
          </cell>
          <cell r="F304" t="str">
            <v>LA ACTIVIDAD CONTEMPLA LA PREPARACIÓN Y TRANSPORTE DE LOS MATERIALES Y HERRAMIENTAS NECESARIAS, DESATORO DE LOS EMBUDOS Y TUBERÍAS DE DRENAJE CON AIRE COMPRIMIDO CON MEDIOS MECÁNICOS U OTROS. INCLUYE LA POSTERIOR LIMPIEZA Y RECOGIDA DE LA ZONA DE TRABAJO ASÍ COMO LA GESTIÓN DE RESIDUOS GENERADOS.</v>
          </cell>
          <cell r="G304" t="str">
            <v>MMIM0900</v>
          </cell>
          <cell r="H304" t="str">
            <v>NUM</v>
          </cell>
          <cell r="I304">
            <v>1</v>
          </cell>
          <cell r="J304">
            <v>4</v>
          </cell>
          <cell r="K304">
            <v>2</v>
          </cell>
          <cell r="L304">
            <v>8</v>
          </cell>
          <cell r="M304" t="str">
            <v>NO</v>
          </cell>
          <cell r="N304">
            <v>4</v>
          </cell>
          <cell r="O304">
            <v>3</v>
          </cell>
          <cell r="P304">
            <v>3</v>
          </cell>
          <cell r="Q304">
            <v>12</v>
          </cell>
          <cell r="R304">
            <v>9</v>
          </cell>
          <cell r="S304">
            <v>9</v>
          </cell>
          <cell r="T304">
            <v>342.54063532265997</v>
          </cell>
          <cell r="U304">
            <v>342.54063532265997</v>
          </cell>
          <cell r="V304">
            <v>342.54063532265997</v>
          </cell>
          <cell r="W304">
            <v>4110.4876238719198</v>
          </cell>
          <cell r="X304">
            <v>3082.8657179039396</v>
          </cell>
          <cell r="Y304">
            <v>7193.353341775859</v>
          </cell>
          <cell r="Z304">
            <v>3082.8657179039396</v>
          </cell>
          <cell r="AA304">
            <v>342.54063532265997</v>
          </cell>
          <cell r="AB304">
            <v>19.171538486527368</v>
          </cell>
          <cell r="AC304">
            <v>8</v>
          </cell>
          <cell r="AD304">
            <v>55.902481711520124</v>
          </cell>
          <cell r="AE304">
            <v>89.939601838137193</v>
          </cell>
          <cell r="AF304">
            <v>17.952863486512577</v>
          </cell>
          <cell r="AG304">
            <v>25.373380394271109</v>
          </cell>
          <cell r="AH304" t="str">
            <v>Mecánica</v>
          </cell>
          <cell r="AI304">
            <v>342.54063532265997</v>
          </cell>
          <cell r="AJ304">
            <v>8</v>
          </cell>
          <cell r="AK304">
            <v>42.817579415332496</v>
          </cell>
        </row>
        <row r="305">
          <cell r="A305" t="str">
            <v>C324</v>
          </cell>
          <cell r="B305" t="str">
            <v>COND</v>
          </cell>
          <cell r="C305" t="str">
            <v>WWOMMIM09090203900</v>
          </cell>
          <cell r="D305" t="str">
            <v>VENTANILLA, SANTA ROSA Y MALACAS</v>
          </cell>
          <cell r="E305" t="str">
            <v xml:space="preserve">LIMPIEZA Y DESATORO INTERIOR CALDERA </v>
          </cell>
          <cell r="F305" t="str">
            <v>LA ACTIVIDAD CONTEMPLA LA PREPARACIÓN Y TRANSPORTE DE LOS MATERIALES Y HERRAMIENTAS NECESARIAS, APERTURA DE TAPAS, DESATORO Y LIMPIEZA INTERIOR CALDERA. REPOSICIÓN DEL SISTEMA. RETIRADA Y GESTIÓN DE LOS RESIDUOS GENERADOS. COMPROBACIÓN DE LA INTERVENCIÓN.</v>
          </cell>
          <cell r="G305" t="str">
            <v>MMIM0900</v>
          </cell>
          <cell r="H305" t="str">
            <v>NUM</v>
          </cell>
          <cell r="I305">
            <v>1</v>
          </cell>
          <cell r="J305">
            <v>12.5</v>
          </cell>
          <cell r="K305">
            <v>4</v>
          </cell>
          <cell r="L305">
            <v>50</v>
          </cell>
          <cell r="M305" t="str">
            <v>SI</v>
          </cell>
          <cell r="N305">
            <v>4</v>
          </cell>
          <cell r="O305">
            <v>3</v>
          </cell>
          <cell r="P305">
            <v>3</v>
          </cell>
          <cell r="Q305">
            <v>12</v>
          </cell>
          <cell r="R305">
            <v>9</v>
          </cell>
          <cell r="S305">
            <v>9</v>
          </cell>
          <cell r="T305">
            <v>2140.8789707666228</v>
          </cell>
          <cell r="U305">
            <v>2140.8789707666228</v>
          </cell>
          <cell r="V305">
            <v>2140.8789707666228</v>
          </cell>
          <cell r="W305">
            <v>25690.547649199474</v>
          </cell>
          <cell r="X305">
            <v>19267.910736899605</v>
          </cell>
          <cell r="Y305">
            <v>44958.458386099082</v>
          </cell>
          <cell r="Z305">
            <v>19267.910736899605</v>
          </cell>
          <cell r="AA305">
            <v>2140.8789707666228</v>
          </cell>
          <cell r="AB305">
            <v>19.171538486527368</v>
          </cell>
          <cell r="AC305">
            <v>50</v>
          </cell>
          <cell r="AD305">
            <v>349.39051069700025</v>
          </cell>
          <cell r="AE305">
            <v>562.12251148835662</v>
          </cell>
          <cell r="AF305">
            <v>112.2053967907035</v>
          </cell>
          <cell r="AG305">
            <v>158.58362746419428</v>
          </cell>
          <cell r="AH305" t="str">
            <v>Mecánica</v>
          </cell>
          <cell r="AI305">
            <v>2140.8789707666228</v>
          </cell>
          <cell r="AJ305">
            <v>50</v>
          </cell>
          <cell r="AK305">
            <v>42.81757941533246</v>
          </cell>
        </row>
        <row r="306">
          <cell r="A306" t="str">
            <v>P127</v>
          </cell>
          <cell r="B306" t="str">
            <v>PREV</v>
          </cell>
          <cell r="C306" t="str">
            <v>PEOMMIM01MMLUB0002</v>
          </cell>
          <cell r="D306" t="str">
            <v>VENTANILLA, SANTA ROSA Y MALACAS</v>
          </cell>
          <cell r="E306" t="str">
            <v>LUBRICACION RODAMIENTOS DE MOTORES</v>
          </cell>
          <cell r="F306" t="str">
            <v xml:space="preserve">LA ACTIVIDAD CONTEMPLA LA LUBRICACIÓN DE RODAMIENTOS DE MOTORES CON PUNTOS DE ENGRASE MANUAL DE LOS SISTEMAS AUXILIARES DE LAS UNIDADES DE GENERACIÓN </v>
          </cell>
          <cell r="G306" t="str">
            <v>MMIM01</v>
          </cell>
          <cell r="H306" t="str">
            <v>NUM</v>
          </cell>
          <cell r="I306">
            <v>1</v>
          </cell>
          <cell r="J306">
            <v>0.5</v>
          </cell>
          <cell r="K306">
            <v>3</v>
          </cell>
          <cell r="L306">
            <v>1.5</v>
          </cell>
          <cell r="M306" t="str">
            <v>No</v>
          </cell>
          <cell r="N306">
            <v>6</v>
          </cell>
          <cell r="O306">
            <v>35</v>
          </cell>
          <cell r="P306">
            <v>14</v>
          </cell>
          <cell r="Q306">
            <v>18</v>
          </cell>
          <cell r="R306">
            <v>105</v>
          </cell>
          <cell r="S306">
            <v>42</v>
          </cell>
          <cell r="T306">
            <v>65.949358986610989</v>
          </cell>
          <cell r="U306">
            <v>65.949358986610989</v>
          </cell>
          <cell r="V306">
            <v>65.949358986610989</v>
          </cell>
          <cell r="W306">
            <v>1187.0884617589977</v>
          </cell>
          <cell r="X306">
            <v>6924.6826935941535</v>
          </cell>
          <cell r="Y306">
            <v>8111.7711553531517</v>
          </cell>
          <cell r="Z306">
            <v>2769.8730774376613</v>
          </cell>
          <cell r="AA306">
            <v>65.949358986610989</v>
          </cell>
          <cell r="AB306">
            <v>19.171538486527368</v>
          </cell>
          <cell r="AC306">
            <v>1.5</v>
          </cell>
          <cell r="AD306">
            <v>10.259428455615609</v>
          </cell>
          <cell r="AE306">
            <v>18.5910197428</v>
          </cell>
          <cell r="AF306">
            <v>3.4564653556923992</v>
          </cell>
          <cell r="AG306">
            <v>4.8851377027119245</v>
          </cell>
          <cell r="AH306" t="str">
            <v>Mecánica</v>
          </cell>
          <cell r="AI306">
            <v>65.949358986610989</v>
          </cell>
          <cell r="AJ306">
            <v>1.5</v>
          </cell>
          <cell r="AK306">
            <v>43.966239324407326</v>
          </cell>
        </row>
        <row r="307">
          <cell r="A307" t="str">
            <v>P120</v>
          </cell>
          <cell r="B307" t="str">
            <v>PREV</v>
          </cell>
          <cell r="C307" t="str">
            <v>PEOMMIM01MMLIMP004</v>
          </cell>
          <cell r="D307" t="str">
            <v>SANTA ROSA Y MALACAS</v>
          </cell>
          <cell r="E307" t="str">
            <v>LIMPIEZA RADIADORES PEQUEÑOS</v>
          </cell>
          <cell r="F307" t="str">
            <v xml:space="preserve">LA ACTIVIDAD CONTEMPLA LA LIMPIEZA CON AGUA O AIRE A PRESIÓN DE LAS ALETAS DEL RADIADOR PERTENECIENTE A COMPRESORES, HPU, SECADORES DE AIRE O EQUIPOS PEQUEÑOS QUE FORMAN PARTE DE LOS DIFERENTES SISTEMAS </v>
          </cell>
          <cell r="G307" t="str">
            <v>LEII0900</v>
          </cell>
          <cell r="H307" t="str">
            <v>NUM</v>
          </cell>
          <cell r="I307">
            <v>1</v>
          </cell>
          <cell r="J307">
            <v>10</v>
          </cell>
          <cell r="K307">
            <v>3</v>
          </cell>
          <cell r="L307">
            <v>30</v>
          </cell>
          <cell r="M307" t="str">
            <v>SI</v>
          </cell>
          <cell r="N307">
            <v>0</v>
          </cell>
          <cell r="O307">
            <v>10</v>
          </cell>
          <cell r="P307">
            <v>1</v>
          </cell>
          <cell r="Q307">
            <v>0</v>
          </cell>
          <cell r="R307">
            <v>30</v>
          </cell>
          <cell r="S307">
            <v>3</v>
          </cell>
          <cell r="T307"/>
          <cell r="U307">
            <v>1235.3780642773763</v>
          </cell>
          <cell r="V307">
            <v>1235.3780642773763</v>
          </cell>
          <cell r="W307">
            <v>0</v>
          </cell>
          <cell r="X307">
            <v>37061.341928321286</v>
          </cell>
          <cell r="Y307">
            <v>37061.341928321286</v>
          </cell>
          <cell r="Z307">
            <v>3706.134192832129</v>
          </cell>
          <cell r="AA307">
            <v>1235.3780642773763</v>
          </cell>
          <cell r="AB307">
            <v>21.533127692412709</v>
          </cell>
          <cell r="AC307">
            <v>27</v>
          </cell>
          <cell r="AD307">
            <v>190.78283567346404</v>
          </cell>
          <cell r="AE307">
            <v>306.94401666404156</v>
          </cell>
          <cell r="AF307">
            <v>64.747278001958932</v>
          </cell>
          <cell r="AG307">
            <v>91.509486242768617</v>
          </cell>
          <cell r="AH307" t="e">
            <v>#N/A</v>
          </cell>
          <cell r="AI307">
            <v>1235.3780642773763</v>
          </cell>
          <cell r="AJ307">
            <v>30</v>
          </cell>
          <cell r="AK307">
            <v>41.179268809245876</v>
          </cell>
        </row>
        <row r="308">
          <cell r="A308" t="str">
            <v>C376</v>
          </cell>
          <cell r="B308" t="str">
            <v>COND</v>
          </cell>
          <cell r="C308" t="str">
            <v>PEOMMIM01MMLIMP006</v>
          </cell>
          <cell r="D308" t="str">
            <v>SANTA ROSA Y MALACAS</v>
          </cell>
          <cell r="E308" t="str">
            <v>LAVADO IGV</v>
          </cell>
          <cell r="F308" t="str">
            <v>LA ACTIVIDAD CONTEMPLA LA APERTURA Y CIERRE DE MANHOLE, LAS FACILIDADES DE ACCESO E ILUMINACIÓN, LA LIMPIEZA ADECUADA DE LOS ALABES DEL IGV, CONTROL DE ACCESOS Y NORMALIZACIÓN</v>
          </cell>
          <cell r="G308" t="str">
            <v>LEII0900</v>
          </cell>
          <cell r="H308" t="str">
            <v>NUM</v>
          </cell>
          <cell r="I308">
            <v>1</v>
          </cell>
          <cell r="J308">
            <v>5</v>
          </cell>
          <cell r="K308">
            <v>3</v>
          </cell>
          <cell r="L308">
            <v>15</v>
          </cell>
          <cell r="M308" t="str">
            <v>Si</v>
          </cell>
          <cell r="N308">
            <v>0</v>
          </cell>
          <cell r="O308">
            <v>6</v>
          </cell>
          <cell r="P308">
            <v>6</v>
          </cell>
          <cell r="Q308">
            <v>0</v>
          </cell>
          <cell r="R308">
            <v>18</v>
          </cell>
          <cell r="S308">
            <v>18</v>
          </cell>
          <cell r="T308"/>
          <cell r="U308">
            <v>763.78469944725919</v>
          </cell>
          <cell r="V308">
            <v>763.78469944725919</v>
          </cell>
          <cell r="W308">
            <v>0</v>
          </cell>
          <cell r="X308">
            <v>13748.124590050666</v>
          </cell>
          <cell r="Y308">
            <v>13748.124590050666</v>
          </cell>
          <cell r="Z308">
            <v>13748.124590050666</v>
          </cell>
          <cell r="AA308">
            <v>763.78469944725919</v>
          </cell>
          <cell r="AB308">
            <v>17.87988332086158</v>
          </cell>
          <cell r="AC308">
            <v>18</v>
          </cell>
          <cell r="AD308">
            <v>122.80523262495052</v>
          </cell>
          <cell r="AE308">
            <v>222.53427801818108</v>
          </cell>
          <cell r="AF308">
            <v>40.030644625118406</v>
          </cell>
          <cell r="AG308">
            <v>56.57664440350068</v>
          </cell>
          <cell r="AH308" t="e">
            <v>#N/A</v>
          </cell>
          <cell r="AI308">
            <v>763.78469944725919</v>
          </cell>
          <cell r="AJ308">
            <v>15</v>
          </cell>
          <cell r="AK308">
            <v>50.918979963150612</v>
          </cell>
        </row>
        <row r="309">
          <cell r="A309" t="str">
            <v>C374</v>
          </cell>
          <cell r="B309" t="str">
            <v>COND</v>
          </cell>
          <cell r="C309" t="str">
            <v>PEOMMIM01MEINST002</v>
          </cell>
          <cell r="D309" t="str">
            <v>VENTANILLA, SANTA ROSA Y MALACAS</v>
          </cell>
          <cell r="E309" t="str">
            <v>Instalacion de plato ciego</v>
          </cell>
          <cell r="F309" t="str">
            <v>LA ACTIVIDAD CONTEMPLA EL RETIRO O INSTALACION DE PLATO CIEGO, DESDE 3" HASTA 12", INCLUYE CONTAR CON HERRAMIENTAS Y EQUIPOS HIDRAULICOS PARA EL RETIRO E INSTALACION DEL PLATO CIEGO O BRIDA CIEGA DE REQUERIRSE. LA ACTIVIDAD CONTEMPLA TAMBIEN LA LIMPIEZA DE PERNERÍA. INCLUYE EL AJUSTE SEGUN NORMA</v>
          </cell>
          <cell r="G309" t="str">
            <v>LEII0900</v>
          </cell>
          <cell r="H309" t="str">
            <v>NUM</v>
          </cell>
          <cell r="I309">
            <v>1</v>
          </cell>
          <cell r="J309">
            <v>18</v>
          </cell>
          <cell r="K309">
            <v>10</v>
          </cell>
          <cell r="L309">
            <v>180</v>
          </cell>
          <cell r="M309" t="str">
            <v>Si</v>
          </cell>
          <cell r="N309">
            <v>4</v>
          </cell>
          <cell r="O309">
            <v>1</v>
          </cell>
          <cell r="P309">
            <v>1</v>
          </cell>
          <cell r="Q309">
            <v>12</v>
          </cell>
          <cell r="R309">
            <v>3</v>
          </cell>
          <cell r="S309">
            <v>3</v>
          </cell>
          <cell r="T309">
            <v>351.72991459525917</v>
          </cell>
          <cell r="U309">
            <v>351.72991459525917</v>
          </cell>
          <cell r="V309">
            <v>351.72991459525917</v>
          </cell>
          <cell r="W309">
            <v>4220.7589751431096</v>
          </cell>
          <cell r="X309">
            <v>1055.1897437857774</v>
          </cell>
          <cell r="Y309">
            <v>5275.9487189288866</v>
          </cell>
          <cell r="Z309">
            <v>1055.1897437857774</v>
          </cell>
          <cell r="AA309">
            <v>351.72991459525917</v>
          </cell>
          <cell r="AB309">
            <v>19.1715384865274</v>
          </cell>
          <cell r="AC309">
            <v>8</v>
          </cell>
          <cell r="AD309">
            <v>54.716951763283298</v>
          </cell>
          <cell r="AE309">
            <v>99.15210529493352</v>
          </cell>
          <cell r="AF309">
            <v>18.43448189702616</v>
          </cell>
          <cell r="AG309">
            <v>26.054067747796978</v>
          </cell>
          <cell r="AH309" t="e">
            <v>#N/A</v>
          </cell>
          <cell r="AI309">
            <v>351.72991459525917</v>
          </cell>
          <cell r="AJ309">
            <v>180</v>
          </cell>
          <cell r="AK309">
            <v>1.9540550810847732</v>
          </cell>
        </row>
        <row r="310">
          <cell r="A310" t="str">
            <v>P125</v>
          </cell>
          <cell r="B310" t="str">
            <v>PREV</v>
          </cell>
          <cell r="C310" t="str">
            <v>PEOMMIM01MMALUM001</v>
          </cell>
          <cell r="D310" t="str">
            <v>VENTANILLA Y SANTA ROSA</v>
          </cell>
          <cell r="E310" t="str">
            <v>CAMBIO DE ALUMINA DE SECADORES</v>
          </cell>
          <cell r="F310" t="str">
            <v xml:space="preserve">LA ACTIVIDAD CONTEMPLA EL PROCESO DE APERTURA Y CIERRE, RETIRO DE ALUMINA, LIMPIEZA Y AGREGAR NUEVA ALUMINA, FINALMENTE NORMALIZACIÓN Y PRUEBAS </v>
          </cell>
          <cell r="G310" t="str">
            <v>MMIM01</v>
          </cell>
          <cell r="H310" t="str">
            <v>NUM</v>
          </cell>
          <cell r="I310">
            <v>1</v>
          </cell>
          <cell r="J310">
            <v>3</v>
          </cell>
          <cell r="K310">
            <v>3</v>
          </cell>
          <cell r="L310">
            <v>9</v>
          </cell>
          <cell r="M310" t="str">
            <v>Si</v>
          </cell>
          <cell r="N310">
            <v>2</v>
          </cell>
          <cell r="O310">
            <v>6</v>
          </cell>
          <cell r="P310">
            <v>0</v>
          </cell>
          <cell r="Q310">
            <v>6</v>
          </cell>
          <cell r="R310">
            <v>18</v>
          </cell>
          <cell r="S310">
            <v>0</v>
          </cell>
          <cell r="T310">
            <v>299.66812372145051</v>
          </cell>
          <cell r="U310">
            <v>299.66812372145051</v>
          </cell>
          <cell r="V310">
            <v>0</v>
          </cell>
          <cell r="W310">
            <v>1798.0087423287032</v>
          </cell>
          <cell r="X310">
            <v>5394.0262269861096</v>
          </cell>
          <cell r="Y310">
            <v>7192.0349693148128</v>
          </cell>
          <cell r="Z310">
            <v>0</v>
          </cell>
          <cell r="AA310">
            <v>299.66812372145051</v>
          </cell>
          <cell r="AB310">
            <v>17.555395653041831</v>
          </cell>
          <cell r="AC310">
            <v>7</v>
          </cell>
          <cell r="AD310">
            <v>49.385610321597746</v>
          </cell>
          <cell r="AE310">
            <v>89.491228529061331</v>
          </cell>
          <cell r="AF310">
            <v>15.705876505317113</v>
          </cell>
          <cell r="AG310">
            <v>22.197638794181522</v>
          </cell>
          <cell r="AH310" t="str">
            <v>Mecánica</v>
          </cell>
          <cell r="AI310">
            <v>299.66812372145051</v>
          </cell>
          <cell r="AJ310">
            <v>9</v>
          </cell>
          <cell r="AK310">
            <v>33.296458191272279</v>
          </cell>
        </row>
        <row r="311">
          <cell r="A311" t="str">
            <v>P126</v>
          </cell>
          <cell r="B311" t="str">
            <v>PREV</v>
          </cell>
          <cell r="C311" t="str">
            <v>PEOMMIM01MMBWVAL01</v>
          </cell>
          <cell r="D311" t="str">
            <v>SANTA ROSA</v>
          </cell>
          <cell r="E311" t="str">
            <v>REVISION GENERAL BLOWER Y VALVULAS CHECK</v>
          </cell>
          <cell r="F311" t="str">
            <v>LA ACTIVIDAD CONTEMPLA EL DESMONTAJE DE REJILLAS, MANIOBRAS, FACILIDADES DE ILUMINACIÓN, AJUSTES Y PRUEBAS DE LOS BLOWER DE TG8</v>
          </cell>
          <cell r="G311" t="str">
            <v>LEII0900</v>
          </cell>
          <cell r="H311" t="str">
            <v>NUM</v>
          </cell>
          <cell r="I311">
            <v>1</v>
          </cell>
          <cell r="J311">
            <v>4</v>
          </cell>
          <cell r="K311">
            <v>3</v>
          </cell>
          <cell r="L311">
            <v>12</v>
          </cell>
          <cell r="M311" t="str">
            <v>Si</v>
          </cell>
          <cell r="N311">
            <v>0</v>
          </cell>
          <cell r="O311">
            <v>2</v>
          </cell>
          <cell r="P311">
            <v>0</v>
          </cell>
          <cell r="Q311">
            <v>0</v>
          </cell>
          <cell r="R311">
            <v>6</v>
          </cell>
          <cell r="S311">
            <v>0</v>
          </cell>
          <cell r="T311"/>
          <cell r="U311">
            <v>569.84034043001384</v>
          </cell>
          <cell r="V311">
            <v>0</v>
          </cell>
          <cell r="W311">
            <v>0</v>
          </cell>
          <cell r="X311">
            <v>3419.042042580083</v>
          </cell>
          <cell r="Y311">
            <v>3419.042042580083</v>
          </cell>
          <cell r="Z311">
            <v>0</v>
          </cell>
          <cell r="AA311">
            <v>569.84034043001384</v>
          </cell>
          <cell r="AB311">
            <v>21.533127692412709</v>
          </cell>
          <cell r="AC311">
            <v>12</v>
          </cell>
          <cell r="AD311">
            <v>85.120485747786546</v>
          </cell>
          <cell r="AE311">
            <v>154.24608085137922</v>
          </cell>
          <cell r="AF311">
            <v>29.865845934487098</v>
          </cell>
          <cell r="AG311">
            <v>42.210395587408428</v>
          </cell>
          <cell r="AH311" t="e">
            <v>#N/A</v>
          </cell>
          <cell r="AI311">
            <v>569.84034043001384</v>
          </cell>
          <cell r="AJ311">
            <v>12</v>
          </cell>
          <cell r="AK311">
            <v>47.486695035834487</v>
          </cell>
        </row>
        <row r="312">
          <cell r="A312" t="str">
            <v>C375</v>
          </cell>
          <cell r="B312" t="str">
            <v>COND</v>
          </cell>
          <cell r="C312" t="str">
            <v>PEOMMIM01MMBALAN01</v>
          </cell>
          <cell r="D312" t="str">
            <v>SANTA ROSA Y MALACAS</v>
          </cell>
          <cell r="E312" t="str">
            <v>BALANCEO DE VENTILADORES Y SOPLADORES</v>
          </cell>
          <cell r="F312" t="str">
            <v>LA ACTIVIDAD CONTEMPLA EL DESMONTAJE DE GUARDAS, INSTALACIÓN DE EQUIPOS DE BALANCEO IN SITU, PRUEBAS PRELIMINARES, AGREGAR O RETIRAR PESAS, PRUEBAS, NORMALIZACIÓN</v>
          </cell>
          <cell r="G312" t="str">
            <v>LEII0900</v>
          </cell>
          <cell r="H312" t="str">
            <v>NUM</v>
          </cell>
          <cell r="I312">
            <v>1</v>
          </cell>
          <cell r="J312">
            <v>4</v>
          </cell>
          <cell r="K312">
            <v>3</v>
          </cell>
          <cell r="L312">
            <v>12</v>
          </cell>
          <cell r="M312" t="str">
            <v>Si</v>
          </cell>
          <cell r="N312">
            <v>0</v>
          </cell>
          <cell r="O312">
            <v>10</v>
          </cell>
          <cell r="P312">
            <v>3</v>
          </cell>
          <cell r="Q312">
            <v>0</v>
          </cell>
          <cell r="R312">
            <v>30</v>
          </cell>
          <cell r="S312">
            <v>9</v>
          </cell>
          <cell r="T312"/>
          <cell r="U312">
            <v>513.81095298398952</v>
          </cell>
          <cell r="V312">
            <v>513.81095298398952</v>
          </cell>
          <cell r="W312">
            <v>0</v>
          </cell>
          <cell r="X312">
            <v>15414.328589519686</v>
          </cell>
          <cell r="Y312">
            <v>15414.328589519686</v>
          </cell>
          <cell r="Z312">
            <v>4624.2985768559056</v>
          </cell>
          <cell r="AA312">
            <v>513.81095298398952</v>
          </cell>
          <cell r="AB312">
            <v>19.171538486527368</v>
          </cell>
          <cell r="AC312">
            <v>12</v>
          </cell>
          <cell r="AD312">
            <v>83.853722567280059</v>
          </cell>
          <cell r="AE312">
            <v>134.90940275720558</v>
          </cell>
          <cell r="AF312">
            <v>26.92929522976884</v>
          </cell>
          <cell r="AG312">
            <v>38.060070591406628</v>
          </cell>
          <cell r="AH312" t="e">
            <v>#N/A</v>
          </cell>
          <cell r="AI312">
            <v>513.81095298398952</v>
          </cell>
          <cell r="AJ312">
            <v>12</v>
          </cell>
          <cell r="AK312">
            <v>42.81757941533246</v>
          </cell>
        </row>
        <row r="313">
          <cell r="A313" t="str">
            <v>P118</v>
          </cell>
          <cell r="B313" t="str">
            <v>PREV</v>
          </cell>
          <cell r="C313" t="str">
            <v>PEOMMIM01MMBORO001</v>
          </cell>
          <cell r="D313" t="str">
            <v>SANTA ROSA Y MALACAS</v>
          </cell>
          <cell r="E313" t="str">
            <v>APOYO BOROSCOPIADO GENERADOR DE GAS</v>
          </cell>
          <cell r="F313" t="str">
            <v>LA ACTIVIDAD CONTEMPLA EL DE APERTURA DE AL MENOS 6 PUNTOS DE BOROSCOPIADO, FACILIDAD DE TOMA ELÉCTRICA, ILUMINACIÓN Y APOYO DURANTE BOROSCOPIADO DE GENERADOR DE GAS</v>
          </cell>
          <cell r="G313" t="str">
            <v>LEII0900</v>
          </cell>
          <cell r="H313" t="str">
            <v>NUM</v>
          </cell>
          <cell r="I313">
            <v>1</v>
          </cell>
          <cell r="J313">
            <v>3</v>
          </cell>
          <cell r="K313">
            <v>2</v>
          </cell>
          <cell r="L313">
            <v>6</v>
          </cell>
          <cell r="M313" t="str">
            <v>Si</v>
          </cell>
          <cell r="N313">
            <v>0</v>
          </cell>
          <cell r="O313">
            <v>4</v>
          </cell>
          <cell r="P313">
            <v>1</v>
          </cell>
          <cell r="Q313">
            <v>0</v>
          </cell>
          <cell r="R313">
            <v>12</v>
          </cell>
          <cell r="S313">
            <v>3</v>
          </cell>
          <cell r="T313"/>
          <cell r="U313">
            <v>577.18898613623719</v>
          </cell>
          <cell r="V313">
            <v>577.18898613623719</v>
          </cell>
          <cell r="W313">
            <v>0</v>
          </cell>
          <cell r="X313">
            <v>6926.2678336348463</v>
          </cell>
          <cell r="Y313">
            <v>6926.2678336348463</v>
          </cell>
          <cell r="Z313">
            <v>1731.5669584087116</v>
          </cell>
          <cell r="AA313">
            <v>577.18898613623719</v>
          </cell>
          <cell r="AB313">
            <v>22.249717717466904</v>
          </cell>
          <cell r="AC313">
            <v>12</v>
          </cell>
          <cell r="AD313">
            <v>84.3452876006222</v>
          </cell>
          <cell r="AE313">
            <v>152.84135113170112</v>
          </cell>
          <cell r="AF313">
            <v>30.250995080515569</v>
          </cell>
          <cell r="AG313">
            <v>42.754739713795345</v>
          </cell>
          <cell r="AH313" t="e">
            <v>#N/A</v>
          </cell>
          <cell r="AI313">
            <v>577.18898613623719</v>
          </cell>
          <cell r="AJ313">
            <v>6</v>
          </cell>
          <cell r="AK313">
            <v>96.198164356039527</v>
          </cell>
        </row>
        <row r="314">
          <cell r="A314" t="str">
            <v>C373</v>
          </cell>
          <cell r="B314" t="str">
            <v>COND</v>
          </cell>
          <cell r="C314" t="str">
            <v>PEOMMIM01MMREEMP01</v>
          </cell>
          <cell r="D314" t="str">
            <v>VENTANILLA, SANTA ROSA Y MALACAS</v>
          </cell>
          <cell r="E314" t="str">
            <v>CAMBIO DE MANTAS</v>
          </cell>
          <cell r="F314" t="str">
            <v>LA ACTIVIDAD CONTEMPLA EL CAMBIO DE MANTAS TIPO G4 EN ROLLO, INCLUYE LA RECEPCION DE LOS ROLLOS DE MANTAS EN ALMACEN, LA PREPARACION DE MANTAS EN TALLER, EL RETIRO DE MANTAS Y EL MONTAJE DE LAS NUEVAS MANTAS, CON UNIDAD EN SERVICIO O FUERA DE SERVICIO EN TG. FINALMENTE INCLUYE LA CORRECTA DISPOSICION DE LAS MANTAS EN LOS LUGARES DONDE SE INDIQUE EN LA PLANTA</v>
          </cell>
          <cell r="G314" t="str">
            <v>LEII0900</v>
          </cell>
          <cell r="H314" t="str">
            <v>NUM</v>
          </cell>
          <cell r="I314">
            <v>1</v>
          </cell>
          <cell r="J314">
            <v>8</v>
          </cell>
          <cell r="K314">
            <v>4</v>
          </cell>
          <cell r="L314">
            <v>32</v>
          </cell>
          <cell r="M314" t="str">
            <v>Si</v>
          </cell>
          <cell r="N314">
            <v>4</v>
          </cell>
          <cell r="O314">
            <v>3</v>
          </cell>
          <cell r="P314">
            <v>2</v>
          </cell>
          <cell r="Q314">
            <v>12</v>
          </cell>
          <cell r="R314">
            <v>9</v>
          </cell>
          <cell r="S314">
            <v>6</v>
          </cell>
          <cell r="T314">
            <v>1333.2993693355077</v>
          </cell>
          <cell r="U314">
            <v>1333.2993693355077</v>
          </cell>
          <cell r="V314">
            <v>1333.2993693355077</v>
          </cell>
          <cell r="W314">
            <v>15999.592432026093</v>
          </cell>
          <cell r="X314">
            <v>11999.694324019569</v>
          </cell>
          <cell r="Y314">
            <v>27999.286756045662</v>
          </cell>
          <cell r="Z314">
            <v>7999.7962160130464</v>
          </cell>
          <cell r="AA314">
            <v>1333.2993693355077</v>
          </cell>
          <cell r="AB314">
            <v>17.234055738028701</v>
          </cell>
          <cell r="AC314">
            <v>32</v>
          </cell>
          <cell r="AD314">
            <v>218.04671680663492</v>
          </cell>
          <cell r="AE314">
            <v>395.12053079194953</v>
          </cell>
          <cell r="AF314">
            <v>69.879421872930166</v>
          </cell>
          <cell r="AG314">
            <v>98.762916247074642</v>
          </cell>
          <cell r="AH314" t="e">
            <v>#N/A</v>
          </cell>
          <cell r="AI314">
            <v>1333.2993693355077</v>
          </cell>
          <cell r="AJ314">
            <v>32</v>
          </cell>
          <cell r="AK314">
            <v>41.665605291734614</v>
          </cell>
        </row>
        <row r="315">
          <cell r="A315" t="str">
            <v>C331</v>
          </cell>
          <cell r="B315" t="str">
            <v>COND</v>
          </cell>
          <cell r="C315" t="str">
            <v>WWOMMIM09090206800</v>
          </cell>
          <cell r="D315" t="str">
            <v>VENTANILLA, SANTA ROSA Y MALACAS</v>
          </cell>
          <cell r="E315" t="str">
            <v>SERVICIO DE INSPECCIÓN DE DEPURADORA</v>
          </cell>
          <cell r="F315" t="str">
            <v xml:space="preserve">LA ACTIVIDAD CONSISTE EN LA REVISIÓN GENERAL DEL ROTOR DE LA SEPARADORA, DE LA ENTRADA Y LA SALIDA DEL DISPOSITIVO DE AGUA DE MANIOBRA CADA 6 MESES O 4.000 H DE FUNCIÓNAMIENTO SEGÚN EL MANUAL DE MANTENIMIENTO DE LA DEPURADORA. </v>
          </cell>
          <cell r="G315" t="str">
            <v>MMIM0900</v>
          </cell>
          <cell r="H315" t="str">
            <v>NUM</v>
          </cell>
          <cell r="I315">
            <v>1</v>
          </cell>
          <cell r="J315">
            <v>4</v>
          </cell>
          <cell r="K315">
            <v>2</v>
          </cell>
          <cell r="L315">
            <v>8</v>
          </cell>
          <cell r="M315" t="str">
            <v>NO</v>
          </cell>
          <cell r="N315">
            <v>4</v>
          </cell>
          <cell r="O315">
            <v>3</v>
          </cell>
          <cell r="P315">
            <v>3</v>
          </cell>
          <cell r="Q315">
            <v>12</v>
          </cell>
          <cell r="R315">
            <v>9</v>
          </cell>
          <cell r="S315">
            <v>9</v>
          </cell>
          <cell r="T315">
            <v>359.38152753390051</v>
          </cell>
          <cell r="U315">
            <v>359.38152753390051</v>
          </cell>
          <cell r="V315">
            <v>359.38152753390051</v>
          </cell>
          <cell r="W315">
            <v>4312.5783304068063</v>
          </cell>
          <cell r="X315">
            <v>3234.4337478051048</v>
          </cell>
          <cell r="Y315">
            <v>7547.0120782119111</v>
          </cell>
          <cell r="Z315">
            <v>3234.4337478051048</v>
          </cell>
          <cell r="AA315">
            <v>359.38152753390051</v>
          </cell>
          <cell r="AB315">
            <v>20.776439546856693</v>
          </cell>
          <cell r="AC315">
            <v>8</v>
          </cell>
          <cell r="AD315">
            <v>56.61986769188826</v>
          </cell>
          <cell r="AE315">
            <v>91.093779746937898</v>
          </cell>
          <cell r="AF315">
            <v>18.835509828820783</v>
          </cell>
          <cell r="AG315">
            <v>26.620853891400039</v>
          </cell>
          <cell r="AH315" t="str">
            <v>Mecánica</v>
          </cell>
          <cell r="AI315">
            <v>359.38152753390051</v>
          </cell>
          <cell r="AJ315">
            <v>8</v>
          </cell>
          <cell r="AK315">
            <v>44.922690941737564</v>
          </cell>
        </row>
        <row r="316">
          <cell r="A316" t="str">
            <v>C330</v>
          </cell>
          <cell r="B316" t="str">
            <v>COND</v>
          </cell>
          <cell r="C316" t="str">
            <v>WWOMMIM09090206900</v>
          </cell>
          <cell r="D316" t="str">
            <v>VENTANILLA, SANTA ROSA Y MALACAS</v>
          </cell>
          <cell r="E316" t="str">
            <v>REVISIÓN GENERRAL DE DEPURADORA</v>
          </cell>
          <cell r="F316" t="str">
            <v>LA ACTIVIDAD CONSISTE EN LA REVISIÓN GENERAL DE LA SEPARADORA COMPLETA (INCLUIDO EL SERVICIO DE INSPECCIÓN) CADA 18 MESES O 12.000 H DE FUNCIÓNAMIENTO. EN ESTE SERVICIO SE SUSTITUYEN LOS RETENES, COJINETES, BLOQUES DE FRICCIÓN Y LA CORREA PLANA SEGÚN EL MANUAL DE MANTENIMIENTO DE LA DEPURADORA</v>
          </cell>
          <cell r="G316" t="str">
            <v>MMIM0900</v>
          </cell>
          <cell r="H316" t="str">
            <v>NUM</v>
          </cell>
          <cell r="I316">
            <v>1</v>
          </cell>
          <cell r="J316">
            <v>8</v>
          </cell>
          <cell r="K316">
            <v>2</v>
          </cell>
          <cell r="L316">
            <v>16</v>
          </cell>
          <cell r="M316" t="str">
            <v>NO</v>
          </cell>
          <cell r="N316">
            <v>4</v>
          </cell>
          <cell r="O316">
            <v>3</v>
          </cell>
          <cell r="P316">
            <v>3</v>
          </cell>
          <cell r="Q316">
            <v>12</v>
          </cell>
          <cell r="R316">
            <v>9</v>
          </cell>
          <cell r="S316">
            <v>9</v>
          </cell>
          <cell r="T316">
            <v>718.76305506780102</v>
          </cell>
          <cell r="U316">
            <v>718.76305506780102</v>
          </cell>
          <cell r="V316">
            <v>718.76305506780102</v>
          </cell>
          <cell r="W316">
            <v>8625.1566608136127</v>
          </cell>
          <cell r="X316">
            <v>6468.8674956102095</v>
          </cell>
          <cell r="Y316">
            <v>15094.024156423822</v>
          </cell>
          <cell r="Z316">
            <v>6468.8674956102095</v>
          </cell>
          <cell r="AA316">
            <v>718.76305506780102</v>
          </cell>
          <cell r="AB316">
            <v>20.776439546856693</v>
          </cell>
          <cell r="AC316">
            <v>16</v>
          </cell>
          <cell r="AD316">
            <v>113.23973538377652</v>
          </cell>
          <cell r="AE316">
            <v>182.1875594938758</v>
          </cell>
          <cell r="AF316">
            <v>37.671019657641565</v>
          </cell>
          <cell r="AG316">
            <v>53.241707782800077</v>
          </cell>
          <cell r="AH316" t="str">
            <v>Mecánica</v>
          </cell>
          <cell r="AI316">
            <v>718.76305506780102</v>
          </cell>
          <cell r="AJ316">
            <v>16</v>
          </cell>
          <cell r="AK316">
            <v>44.922690941737564</v>
          </cell>
        </row>
        <row r="317">
          <cell r="A317" t="str">
            <v>P096</v>
          </cell>
          <cell r="B317" t="str">
            <v>PREV</v>
          </cell>
          <cell r="C317" t="str">
            <v>WWOMMIM09090207000</v>
          </cell>
          <cell r="D317" t="str">
            <v>VENTANILLA Y MALACAS</v>
          </cell>
          <cell r="E317" t="str">
            <v>MANTENIMIENTO COMPRESOR AIRE</v>
          </cell>
          <cell r="F317" t="str">
            <v>LA ACTIVIDAD CONSISTE EN CAMBIO DE ACEITE, FILTRO DE AIRE, INSPECCIÓN Y CAMBIO DE FAJA(A CONDICIÓN) O INSPECCIÓN DE ACOPLAMIENTO Y CAMBIO DE ACOPLAMIENTO (A CONDICIÓN), PRUEBA DE GIRO MANUAL  , CONTROL DE VÁLVULAS, SEGMENTOS DE PISTÓN, CONTROL DE EMBRAGUE Y CAMBIAR EJE Y COJINETES DE PISTÓN, O AQUELLAS ACTIVIDADES CONTEMPLADAS EN EL MANUAL DEL FABRICANTE</v>
          </cell>
          <cell r="G317" t="str">
            <v>MMIM0909</v>
          </cell>
          <cell r="H317" t="str">
            <v>NUM</v>
          </cell>
          <cell r="I317">
            <v>1</v>
          </cell>
          <cell r="J317">
            <v>6</v>
          </cell>
          <cell r="K317">
            <v>2</v>
          </cell>
          <cell r="L317">
            <v>12</v>
          </cell>
          <cell r="M317" t="str">
            <v>SI</v>
          </cell>
          <cell r="N317">
            <v>2</v>
          </cell>
          <cell r="O317">
            <v>0</v>
          </cell>
          <cell r="P317">
            <v>4</v>
          </cell>
          <cell r="Q317">
            <v>6</v>
          </cell>
          <cell r="R317">
            <v>0</v>
          </cell>
          <cell r="S317">
            <v>12</v>
          </cell>
          <cell r="T317">
            <v>592.80877311040933</v>
          </cell>
          <cell r="U317"/>
          <cell r="V317">
            <v>592.80877311040933</v>
          </cell>
          <cell r="W317">
            <v>3556.8526386624562</v>
          </cell>
          <cell r="X317">
            <v>0</v>
          </cell>
          <cell r="Y317">
            <v>3556.8526386624562</v>
          </cell>
          <cell r="Z317">
            <v>7113.7052773249125</v>
          </cell>
          <cell r="AA317">
            <v>592.80877311040933</v>
          </cell>
          <cell r="AB317">
            <v>19.171538486527368</v>
          </cell>
          <cell r="AC317">
            <v>12</v>
          </cell>
          <cell r="AD317">
            <v>102.33270915387773</v>
          </cell>
          <cell r="AE317">
            <v>185.43619895049943</v>
          </cell>
          <cell r="AF317">
            <v>31.069642196562331</v>
          </cell>
          <cell r="AG317">
            <v>43.911760971141433</v>
          </cell>
          <cell r="AH317" t="str">
            <v>Mecánica</v>
          </cell>
          <cell r="AI317">
            <v>592.80877311040933</v>
          </cell>
          <cell r="AJ317">
            <v>12</v>
          </cell>
          <cell r="AK317">
            <v>49.400731092534109</v>
          </cell>
        </row>
        <row r="318">
          <cell r="A318" t="str">
            <v>C325</v>
          </cell>
          <cell r="B318" t="str">
            <v>COND</v>
          </cell>
          <cell r="C318" t="str">
            <v>WWOMMIM09090207000</v>
          </cell>
          <cell r="D318" t="str">
            <v>VENTANILLA, SANTA ROSA Y MALACAS</v>
          </cell>
          <cell r="E318" t="str">
            <v>MANTENIMIENTO INTERMEDIO COMPRESOR AIRE</v>
          </cell>
          <cell r="F318" t="str">
            <v>LA ACTIVIDAD CONSISTE EN CAMBIO DE ACEITE, CARTUCHO DE AIRE, CONTROL DE VÁLVULAS, SEGMENTOS DE PISTÓN, CONTROL DE EMBRAGUE Y CAMBIAR EJE Y COJINETES DE PISTÓN, O AQUELLAS ACTIVIDADES CONTEMPLADAS EN EL MANUAL DEL FABRICANTE</v>
          </cell>
          <cell r="G318" t="str">
            <v>MMIM0900</v>
          </cell>
          <cell r="H318" t="str">
            <v>NUM</v>
          </cell>
          <cell r="I318">
            <v>1</v>
          </cell>
          <cell r="J318">
            <v>6</v>
          </cell>
          <cell r="K318">
            <v>2</v>
          </cell>
          <cell r="L318">
            <v>12</v>
          </cell>
          <cell r="M318" t="str">
            <v>SI</v>
          </cell>
          <cell r="N318">
            <v>1</v>
          </cell>
          <cell r="O318">
            <v>1</v>
          </cell>
          <cell r="P318">
            <v>1</v>
          </cell>
          <cell r="Q318">
            <v>3</v>
          </cell>
          <cell r="R318">
            <v>3</v>
          </cell>
          <cell r="S318">
            <v>3</v>
          </cell>
          <cell r="T318">
            <v>539.07229130085079</v>
          </cell>
          <cell r="U318">
            <v>539.07229130085079</v>
          </cell>
          <cell r="V318">
            <v>539.07229130085079</v>
          </cell>
          <cell r="W318">
            <v>1617.2168739025524</v>
          </cell>
          <cell r="X318">
            <v>1617.2168739025524</v>
          </cell>
          <cell r="Y318">
            <v>3234.4337478051048</v>
          </cell>
          <cell r="Z318">
            <v>1617.2168739025524</v>
          </cell>
          <cell r="AA318">
            <v>539.07229130085079</v>
          </cell>
          <cell r="AB318">
            <v>20.776439546856693</v>
          </cell>
          <cell r="AC318">
            <v>12</v>
          </cell>
          <cell r="AD318">
            <v>84.92980153783239</v>
          </cell>
          <cell r="AE318">
            <v>136.64066962040684</v>
          </cell>
          <cell r="AF318">
            <v>28.253264743231171</v>
          </cell>
          <cell r="AG318">
            <v>39.931280837100061</v>
          </cell>
          <cell r="AH318" t="str">
            <v>Mecánica</v>
          </cell>
          <cell r="AI318">
            <v>539.07229130085079</v>
          </cell>
          <cell r="AJ318">
            <v>12</v>
          </cell>
          <cell r="AK318">
            <v>44.922690941737564</v>
          </cell>
        </row>
        <row r="319">
          <cell r="A319" t="str">
            <v>C357</v>
          </cell>
          <cell r="B319" t="str">
            <v>COND</v>
          </cell>
          <cell r="C319" t="str">
            <v>PEOLEII09MEINST002</v>
          </cell>
          <cell r="D319" t="str">
            <v>VENTANILLA, SANTA ROSA Y MALACAS</v>
          </cell>
          <cell r="E319" t="str">
            <v>INSTALACION SECADOR PORTATIL DE GENERADOR</v>
          </cell>
          <cell r="F319" t="str">
            <v>INSTALACION Y RETIRO DE SECADOR, TABLERO, MANGUERAS EQUIPO PORTATIL PARA GEN.</v>
          </cell>
          <cell r="G319" t="str">
            <v>LEII0900</v>
          </cell>
          <cell r="H319" t="str">
            <v>NUM</v>
          </cell>
          <cell r="I319">
            <v>1</v>
          </cell>
          <cell r="J319">
            <v>5</v>
          </cell>
          <cell r="K319">
            <v>3</v>
          </cell>
          <cell r="L319">
            <v>15</v>
          </cell>
          <cell r="M319" t="str">
            <v>NO</v>
          </cell>
          <cell r="N319">
            <v>3</v>
          </cell>
          <cell r="O319">
            <v>1</v>
          </cell>
          <cell r="P319">
            <v>1</v>
          </cell>
          <cell r="Q319">
            <v>9</v>
          </cell>
          <cell r="R319">
            <v>3</v>
          </cell>
          <cell r="S319">
            <v>3</v>
          </cell>
          <cell r="T319">
            <v>713.5316710825831</v>
          </cell>
          <cell r="U319">
            <v>713.5316710825831</v>
          </cell>
          <cell r="V319">
            <v>713.5316710825831</v>
          </cell>
          <cell r="W319">
            <v>6421.7850397432476</v>
          </cell>
          <cell r="X319">
            <v>2140.5950132477492</v>
          </cell>
          <cell r="Y319">
            <v>8562.3800529909968</v>
          </cell>
          <cell r="Z319">
            <v>2140.5950132477492</v>
          </cell>
          <cell r="AA319">
            <v>713.5316710825831</v>
          </cell>
          <cell r="AB319">
            <v>22.522865491628615</v>
          </cell>
          <cell r="AC319">
            <v>15</v>
          </cell>
          <cell r="AD319">
            <v>109.4106225986485</v>
          </cell>
          <cell r="AE319">
            <v>176.02703014448261</v>
          </cell>
          <cell r="AF319">
            <v>37.396838107053618</v>
          </cell>
          <cell r="AG319">
            <v>52.854197857969119</v>
          </cell>
          <cell r="AH319" t="e">
            <v>#N/A</v>
          </cell>
          <cell r="AI319">
            <v>713.5316710825831</v>
          </cell>
          <cell r="AJ319">
            <v>15</v>
          </cell>
          <cell r="AK319">
            <v>47.568778072172208</v>
          </cell>
        </row>
        <row r="320">
          <cell r="A320" t="str">
            <v>C137</v>
          </cell>
          <cell r="B320" t="str">
            <v>COND</v>
          </cell>
          <cell r="C320" t="str">
            <v>WWOLEII09081000600</v>
          </cell>
          <cell r="D320" t="str">
            <v>VENTANILLA, SANTA ROSA Y MALACAS</v>
          </cell>
          <cell r="E320" t="str">
            <v>INSTALACIÓN PLETINA PUESTA A TIERRA &lt;=150MM2</v>
          </cell>
          <cell r="F320" t="str">
            <v>INSTALACIÓN PLETINA DE COBRE DESNUDO DE PUESTA A TIERRA DE HASTA 150 MM2. SE INCLUYE SUMINISTRO Y MONTAJE PARTE PROPORCIÓNAL DE ACCESORIOS DE FIJACIÓN Y CONEXIÓN.</v>
          </cell>
          <cell r="G320" t="str">
            <v>LEII0900</v>
          </cell>
          <cell r="H320" t="str">
            <v>M</v>
          </cell>
          <cell r="I320">
            <v>1</v>
          </cell>
          <cell r="J320">
            <v>0.25</v>
          </cell>
          <cell r="K320">
            <v>2</v>
          </cell>
          <cell r="L320">
            <v>0.5</v>
          </cell>
          <cell r="M320" t="str">
            <v>NO</v>
          </cell>
          <cell r="N320">
            <v>40</v>
          </cell>
          <cell r="O320">
            <v>30</v>
          </cell>
          <cell r="P320">
            <v>30</v>
          </cell>
          <cell r="Q320">
            <v>120</v>
          </cell>
          <cell r="R320">
            <v>90</v>
          </cell>
          <cell r="S320">
            <v>90</v>
          </cell>
          <cell r="T320">
            <v>24.056084289826199</v>
          </cell>
          <cell r="U320">
            <v>24.056084289826199</v>
          </cell>
          <cell r="V320">
            <v>24.056084289826199</v>
          </cell>
          <cell r="W320">
            <v>2886.7301147791441</v>
          </cell>
          <cell r="X320">
            <v>2165.047586084358</v>
          </cell>
          <cell r="Y320">
            <v>5051.7777008635021</v>
          </cell>
          <cell r="Z320">
            <v>2165.047586084358</v>
          </cell>
          <cell r="AA320">
            <v>24.056084289826199</v>
          </cell>
          <cell r="AB320">
            <v>23.057832511738386</v>
          </cell>
          <cell r="AC320">
            <v>0.5</v>
          </cell>
          <cell r="AD320">
            <v>3.6354626188722006</v>
          </cell>
          <cell r="AE320">
            <v>5.8489721820599669</v>
          </cell>
          <cell r="AF320">
            <v>1.2608010634080817</v>
          </cell>
          <cell r="AG320">
            <v>1.7819321696167556</v>
          </cell>
          <cell r="AH320" t="str">
            <v>Electricidad</v>
          </cell>
          <cell r="AI320">
            <v>24.056084289826199</v>
          </cell>
          <cell r="AJ320">
            <v>0.5</v>
          </cell>
          <cell r="AK320">
            <v>48.112168579652398</v>
          </cell>
        </row>
        <row r="321">
          <cell r="A321" t="str">
            <v>C336</v>
          </cell>
          <cell r="B321" t="str">
            <v>COND</v>
          </cell>
          <cell r="C321" t="str">
            <v>PEOLEII09MEINST001</v>
          </cell>
          <cell r="D321" t="str">
            <v>VENTANILLA</v>
          </cell>
          <cell r="E321" t="str">
            <v>INSTALACIÓN O RETIRO SMART SENSOR</v>
          </cell>
          <cell r="F321" t="str">
            <v>INSTALACIÓN O RETIRO  DE BASE Y EQUIPO SMART SENSOR</v>
          </cell>
          <cell r="G321" t="str">
            <v>LEII0900</v>
          </cell>
          <cell r="H321" t="str">
            <v>NUM</v>
          </cell>
          <cell r="I321">
            <v>1</v>
          </cell>
          <cell r="J321">
            <v>1</v>
          </cell>
          <cell r="K321">
            <v>2</v>
          </cell>
          <cell r="L321">
            <v>2</v>
          </cell>
          <cell r="M321" t="str">
            <v>NO</v>
          </cell>
          <cell r="N321">
            <v>4</v>
          </cell>
          <cell r="O321">
            <v>0</v>
          </cell>
          <cell r="P321">
            <v>0</v>
          </cell>
          <cell r="Q321">
            <v>12</v>
          </cell>
          <cell r="R321">
            <v>0</v>
          </cell>
          <cell r="S321">
            <v>0</v>
          </cell>
          <cell r="T321">
            <v>72.085647426063161</v>
          </cell>
          <cell r="U321"/>
          <cell r="V321">
            <v>0</v>
          </cell>
          <cell r="W321">
            <v>865.02776911275794</v>
          </cell>
          <cell r="X321">
            <v>0</v>
          </cell>
          <cell r="Y321">
            <v>865.02776911275794</v>
          </cell>
          <cell r="Z321">
            <v>0</v>
          </cell>
          <cell r="AA321">
            <v>72.085647426063161</v>
          </cell>
          <cell r="AB321">
            <v>23.466564118731693</v>
          </cell>
          <cell r="AC321">
            <v>1.5</v>
          </cell>
          <cell r="AD321">
            <v>10.643724113887092</v>
          </cell>
          <cell r="AE321">
            <v>17.124325782494026</v>
          </cell>
          <cell r="AF321">
            <v>3.7780737644687195</v>
          </cell>
          <cell r="AG321">
            <v>5.3396775871157898</v>
          </cell>
          <cell r="AH321" t="e">
            <v>#N/A</v>
          </cell>
          <cell r="AI321">
            <v>72.085647426063161</v>
          </cell>
          <cell r="AJ321">
            <v>2</v>
          </cell>
          <cell r="AK321">
            <v>36.042823713031581</v>
          </cell>
        </row>
        <row r="322">
          <cell r="A322" t="str">
            <v>C062</v>
          </cell>
          <cell r="B322" t="str">
            <v>COND</v>
          </cell>
          <cell r="C322" t="str">
            <v>WWOLEII09080501100</v>
          </cell>
          <cell r="D322" t="str">
            <v>VENTANILLA, SANTA ROSA Y MALACAS</v>
          </cell>
          <cell r="E322" t="str">
            <v>COLOCAR ILUMINACIÓN AUXILIAR TEMPORANEA</v>
          </cell>
          <cell r="F322" t="str">
            <v>INSTALACIÓN LUMINARIA AUXILIAR TEMPORAL. EXCLUYE INSTALACIÓN DE CABLES Y BANDEJAS.</v>
          </cell>
          <cell r="G322" t="str">
            <v>LEII0900</v>
          </cell>
          <cell r="H322" t="str">
            <v>NUM</v>
          </cell>
          <cell r="I322">
            <v>1</v>
          </cell>
          <cell r="J322">
            <v>1</v>
          </cell>
          <cell r="K322">
            <v>2</v>
          </cell>
          <cell r="L322">
            <v>2</v>
          </cell>
          <cell r="M322" t="str">
            <v>NO</v>
          </cell>
          <cell r="N322">
            <v>4</v>
          </cell>
          <cell r="O322">
            <v>3</v>
          </cell>
          <cell r="P322">
            <v>3</v>
          </cell>
          <cell r="Q322">
            <v>12</v>
          </cell>
          <cell r="R322">
            <v>9</v>
          </cell>
          <cell r="S322">
            <v>9</v>
          </cell>
          <cell r="T322">
            <v>89.64888394391356</v>
          </cell>
          <cell r="U322">
            <v>89.64888394391356</v>
          </cell>
          <cell r="V322">
            <v>89.64888394391356</v>
          </cell>
          <cell r="W322">
            <v>1075.7866073269627</v>
          </cell>
          <cell r="X322">
            <v>806.83995549522206</v>
          </cell>
          <cell r="Y322">
            <v>1882.6265628221847</v>
          </cell>
          <cell r="Z322">
            <v>806.83995549522206</v>
          </cell>
          <cell r="AA322">
            <v>89.64888394391356</v>
          </cell>
          <cell r="AB322">
            <v>23.057832511738386</v>
          </cell>
          <cell r="AC322">
            <v>2</v>
          </cell>
          <cell r="AD322">
            <v>11.049161018924558</v>
          </cell>
          <cell r="AE322">
            <v>21.144821008536443</v>
          </cell>
          <cell r="AF322">
            <v>4.6985788230562662</v>
          </cell>
          <cell r="AG322">
            <v>6.6406580699195228</v>
          </cell>
          <cell r="AH322" t="str">
            <v>Electricidad</v>
          </cell>
          <cell r="AI322">
            <v>89.64888394391356</v>
          </cell>
          <cell r="AJ322">
            <v>2</v>
          </cell>
          <cell r="AK322">
            <v>44.82444197195678</v>
          </cell>
        </row>
        <row r="323">
          <cell r="A323" t="str">
            <v>C126</v>
          </cell>
          <cell r="B323" t="str">
            <v>COND</v>
          </cell>
          <cell r="C323" t="str">
            <v>WWOLEII09080701200</v>
          </cell>
          <cell r="D323" t="str">
            <v>VENTANILLA, SANTA ROSA Y MALACAS</v>
          </cell>
          <cell r="E323" t="str">
            <v>MONTAJE DE TUBERIA PVC&gt; 2 &lt;=4 IN</v>
          </cell>
          <cell r="F323" t="str">
            <v>INSTALACIÓN DE TUBERIA, DE TODOS LOS DIAMETROS MAYORES DE 2 PULGADAS. INCLUYE TODAS LAS ACTIVIDADES DE CORTE, DOBLADO, SOLDADURA, PEGADO, ROSCADO, INSTALACIÓN DE ACCESORIOS Y SOPORTES ETC.</v>
          </cell>
          <cell r="G323" t="str">
            <v>LEII0900</v>
          </cell>
          <cell r="H323" t="str">
            <v>M</v>
          </cell>
          <cell r="I323">
            <v>1</v>
          </cell>
          <cell r="J323">
            <v>0.5</v>
          </cell>
          <cell r="K323">
            <v>2</v>
          </cell>
          <cell r="L323">
            <v>1</v>
          </cell>
          <cell r="M323" t="str">
            <v>SI</v>
          </cell>
          <cell r="N323">
            <v>4</v>
          </cell>
          <cell r="O323">
            <v>3</v>
          </cell>
          <cell r="P323">
            <v>3</v>
          </cell>
          <cell r="Q323">
            <v>12</v>
          </cell>
          <cell r="R323">
            <v>9</v>
          </cell>
          <cell r="S323">
            <v>9</v>
          </cell>
          <cell r="T323">
            <v>48.112168579652412</v>
          </cell>
          <cell r="U323">
            <v>48.112168579652412</v>
          </cell>
          <cell r="V323">
            <v>48.112168579652412</v>
          </cell>
          <cell r="W323">
            <v>577.34602295582897</v>
          </cell>
          <cell r="X323">
            <v>433.0095172168717</v>
          </cell>
          <cell r="Y323">
            <v>1010.3555401727007</v>
          </cell>
          <cell r="Z323">
            <v>433.0095172168717</v>
          </cell>
          <cell r="AA323">
            <v>48.112168579652412</v>
          </cell>
          <cell r="AB323">
            <v>23.057832511738386</v>
          </cell>
          <cell r="AC323">
            <v>1</v>
          </cell>
          <cell r="AD323">
            <v>7.2709252377444065</v>
          </cell>
          <cell r="AE323">
            <v>11.697944364119941</v>
          </cell>
          <cell r="AF323">
            <v>2.5216021268161644</v>
          </cell>
          <cell r="AG323">
            <v>3.5638643392335121</v>
          </cell>
          <cell r="AH323" t="str">
            <v>Electricidad</v>
          </cell>
          <cell r="AI323">
            <v>48.112168579652412</v>
          </cell>
          <cell r="AJ323">
            <v>1</v>
          </cell>
          <cell r="AK323">
            <v>48.112168579652412</v>
          </cell>
        </row>
        <row r="324">
          <cell r="A324" t="str">
            <v>C117</v>
          </cell>
          <cell r="B324" t="str">
            <v>COND</v>
          </cell>
          <cell r="C324" t="str">
            <v>WWOLEII09080701000</v>
          </cell>
          <cell r="D324" t="str">
            <v>VENTANILLA, SANTA ROSA Y MALACAS</v>
          </cell>
          <cell r="E324" t="str">
            <v>MONT TUBER RIGIDA METAL LIVIANA&gt;2&lt;=4 IN</v>
          </cell>
          <cell r="F324" t="str">
            <v>INSTALACIÓN DE TUBERIA, DE TODOS LOS DIAMETROS MAYORES DE 2 PULGADAS. INCLUYE DOBLADO, CORTE, ROSCADO, INSTALACIÓN DE ACCESORIOS O CONDULETAS Y SOPORTES ETC.</v>
          </cell>
          <cell r="G324" t="str">
            <v>LEII0900</v>
          </cell>
          <cell r="H324" t="str">
            <v>M</v>
          </cell>
          <cell r="I324">
            <v>1</v>
          </cell>
          <cell r="J324">
            <v>1</v>
          </cell>
          <cell r="K324">
            <v>3</v>
          </cell>
          <cell r="L324">
            <v>3</v>
          </cell>
          <cell r="M324" t="str">
            <v>SI</v>
          </cell>
          <cell r="N324">
            <v>4</v>
          </cell>
          <cell r="O324">
            <v>3</v>
          </cell>
          <cell r="P324">
            <v>3</v>
          </cell>
          <cell r="Q324">
            <v>12</v>
          </cell>
          <cell r="R324">
            <v>9</v>
          </cell>
          <cell r="S324">
            <v>9</v>
          </cell>
          <cell r="T324">
            <v>131.59809931463454</v>
          </cell>
          <cell r="U324">
            <v>131.59809931463454</v>
          </cell>
          <cell r="V324">
            <v>131.59809931463454</v>
          </cell>
          <cell r="W324">
            <v>1579.1771917756146</v>
          </cell>
          <cell r="X324">
            <v>1184.3828938317108</v>
          </cell>
          <cell r="Y324">
            <v>2763.5600856073252</v>
          </cell>
          <cell r="Z324">
            <v>1184.3828938317108</v>
          </cell>
          <cell r="AA324">
            <v>131.59809931463454</v>
          </cell>
          <cell r="AB324">
            <v>19.924508292717125</v>
          </cell>
          <cell r="AC324">
            <v>3</v>
          </cell>
          <cell r="AD324">
            <v>21.15071919295583</v>
          </cell>
          <cell r="AE324">
            <v>34.028672870397443</v>
          </cell>
          <cell r="AF324">
            <v>6.8971750164902792</v>
          </cell>
          <cell r="AG324">
            <v>9.7480073566395955</v>
          </cell>
          <cell r="AH324" t="str">
            <v>Electricidad</v>
          </cell>
          <cell r="AI324">
            <v>131.59809931463454</v>
          </cell>
          <cell r="AJ324">
            <v>3</v>
          </cell>
          <cell r="AK324">
            <v>43.866033104878177</v>
          </cell>
        </row>
        <row r="325">
          <cell r="A325" t="str">
            <v>C118</v>
          </cell>
          <cell r="B325" t="str">
            <v>COND</v>
          </cell>
          <cell r="C325" t="str">
            <v>WWOLEII09080700800</v>
          </cell>
          <cell r="D325" t="str">
            <v>VENTANILLA, SANTA ROSA Y MALACAS</v>
          </cell>
          <cell r="E325" t="str">
            <v xml:space="preserve">MONT TUBER RIGIDA METAL PESADA &gt;2&lt;=4 IN </v>
          </cell>
          <cell r="F325" t="str">
            <v>INSTALACIÓN DE TUBERIA, DE TODOS LOS DIAMETROS MAYORES DE 2 PULGADAS. INCLUYE DOBLADO, CORTE, ROSCADO, INSTALACIÓN DE ACCESORIOS O CONDULETAS Y SOPORTES ETC.</v>
          </cell>
          <cell r="G325" t="str">
            <v>LEII0900</v>
          </cell>
          <cell r="H325" t="str">
            <v>M</v>
          </cell>
          <cell r="I325">
            <v>1</v>
          </cell>
          <cell r="J325">
            <v>1</v>
          </cell>
          <cell r="K325">
            <v>3</v>
          </cell>
          <cell r="L325">
            <v>3</v>
          </cell>
          <cell r="M325" t="str">
            <v>SI</v>
          </cell>
          <cell r="N325">
            <v>4</v>
          </cell>
          <cell r="O325">
            <v>3</v>
          </cell>
          <cell r="P325">
            <v>3</v>
          </cell>
          <cell r="Q325">
            <v>12</v>
          </cell>
          <cell r="R325">
            <v>9</v>
          </cell>
          <cell r="S325">
            <v>9</v>
          </cell>
          <cell r="T325">
            <v>131.59809931463454</v>
          </cell>
          <cell r="U325">
            <v>131.59809931463454</v>
          </cell>
          <cell r="V325">
            <v>131.59809931463454</v>
          </cell>
          <cell r="W325">
            <v>1579.1771917756146</v>
          </cell>
          <cell r="X325">
            <v>1184.3828938317108</v>
          </cell>
          <cell r="Y325">
            <v>2763.5600856073252</v>
          </cell>
          <cell r="Z325">
            <v>1184.3828938317108</v>
          </cell>
          <cell r="AA325">
            <v>131.59809931463454</v>
          </cell>
          <cell r="AB325">
            <v>19.924508292717125</v>
          </cell>
          <cell r="AC325">
            <v>3</v>
          </cell>
          <cell r="AD325">
            <v>21.150719192955837</v>
          </cell>
          <cell r="AE325">
            <v>34.02867287039745</v>
          </cell>
          <cell r="AF325">
            <v>6.8971750164902801</v>
          </cell>
          <cell r="AG325">
            <v>9.7480073566395955</v>
          </cell>
          <cell r="AH325" t="str">
            <v>Electricidad</v>
          </cell>
          <cell r="AI325">
            <v>131.59809931463454</v>
          </cell>
          <cell r="AJ325">
            <v>3</v>
          </cell>
          <cell r="AK325">
            <v>43.866033104878177</v>
          </cell>
        </row>
        <row r="326">
          <cell r="A326" t="str">
            <v>C125</v>
          </cell>
          <cell r="B326" t="str">
            <v>COND</v>
          </cell>
          <cell r="C326" t="str">
            <v>WWOLEII09080701100</v>
          </cell>
          <cell r="D326" t="str">
            <v>VENTANILLA, SANTA ROSA Y MALACAS</v>
          </cell>
          <cell r="E326" t="str">
            <v>MONTAJE DE TUBERIA PVC&lt;=2 IN</v>
          </cell>
          <cell r="F326" t="str">
            <v>INSTALACIÓN DE TUBERIA, DE TODOS LOS DIAMETROS HASTA 2 PULGADAS. INCLUYE TODAS LAS ACTIVIDADES DE CORTE, DOBLADO, SOLDADURA, PEGADO, ROSCADO, INSTALACIÓN DE ACCESORIOS Y SOPORTES ETC.</v>
          </cell>
          <cell r="G326" t="str">
            <v>LEII0900</v>
          </cell>
          <cell r="H326" t="str">
            <v>M</v>
          </cell>
          <cell r="I326">
            <v>1</v>
          </cell>
          <cell r="J326">
            <v>0.5</v>
          </cell>
          <cell r="K326">
            <v>2</v>
          </cell>
          <cell r="L326">
            <v>1</v>
          </cell>
          <cell r="M326" t="str">
            <v>SI</v>
          </cell>
          <cell r="N326">
            <v>4</v>
          </cell>
          <cell r="O326">
            <v>3</v>
          </cell>
          <cell r="P326">
            <v>3</v>
          </cell>
          <cell r="Q326">
            <v>12</v>
          </cell>
          <cell r="R326">
            <v>9</v>
          </cell>
          <cell r="S326">
            <v>9</v>
          </cell>
          <cell r="T326">
            <v>48.112168579652383</v>
          </cell>
          <cell r="U326">
            <v>48.112168579652383</v>
          </cell>
          <cell r="V326">
            <v>48.112168579652383</v>
          </cell>
          <cell r="W326">
            <v>577.34602295582863</v>
          </cell>
          <cell r="X326">
            <v>433.00951721687147</v>
          </cell>
          <cell r="Y326">
            <v>1010.3555401727001</v>
          </cell>
          <cell r="Z326">
            <v>433.00951721687147</v>
          </cell>
          <cell r="AA326">
            <v>48.112168579652383</v>
          </cell>
          <cell r="AB326">
            <v>23.057832511738386</v>
          </cell>
          <cell r="AC326">
            <v>1</v>
          </cell>
          <cell r="AD326">
            <v>7.2709252377443985</v>
          </cell>
          <cell r="AE326">
            <v>11.697944364119929</v>
          </cell>
          <cell r="AF326">
            <v>2.5216021268161626</v>
          </cell>
          <cell r="AG326">
            <v>3.5638643392335099</v>
          </cell>
          <cell r="AH326" t="str">
            <v>Electricidad</v>
          </cell>
          <cell r="AI326">
            <v>48.112168579652383</v>
          </cell>
          <cell r="AJ326">
            <v>1</v>
          </cell>
          <cell r="AK326">
            <v>48.112168579652383</v>
          </cell>
        </row>
        <row r="327">
          <cell r="A327" t="str">
            <v>C119</v>
          </cell>
          <cell r="B327" t="str">
            <v>COND</v>
          </cell>
          <cell r="C327" t="str">
            <v>WWOLEII09080700900</v>
          </cell>
          <cell r="D327" t="str">
            <v>VENTANILLA, SANTA ROSA Y MALACAS</v>
          </cell>
          <cell r="E327" t="str">
            <v>MONT TUBERIA RIGIDA METAL LIVIANA&lt;=2 IN</v>
          </cell>
          <cell r="F327" t="str">
            <v>INSTALACIÓN DE TUBERIA, DE TODOS LOS DIAMETROS HASTA 2 PULGADAS. INCLUYE DOBLADO, CORTE, ROSCADO, INSTALACIÓN DE ACCESORIOS O CONDULETAS Y SOPORTES ETC.</v>
          </cell>
          <cell r="G327" t="str">
            <v>LEII0900</v>
          </cell>
          <cell r="H327" t="str">
            <v>M</v>
          </cell>
          <cell r="I327">
            <v>1</v>
          </cell>
          <cell r="J327">
            <v>1</v>
          </cell>
          <cell r="K327">
            <v>3</v>
          </cell>
          <cell r="L327">
            <v>3</v>
          </cell>
          <cell r="M327" t="str">
            <v>SI</v>
          </cell>
          <cell r="N327">
            <v>4</v>
          </cell>
          <cell r="O327">
            <v>3</v>
          </cell>
          <cell r="P327">
            <v>3</v>
          </cell>
          <cell r="Q327">
            <v>12</v>
          </cell>
          <cell r="R327">
            <v>9</v>
          </cell>
          <cell r="S327">
            <v>9</v>
          </cell>
          <cell r="T327">
            <v>131.59809931463454</v>
          </cell>
          <cell r="U327">
            <v>131.59809931463454</v>
          </cell>
          <cell r="V327">
            <v>131.59809931463454</v>
          </cell>
          <cell r="W327">
            <v>1579.1771917756146</v>
          </cell>
          <cell r="X327">
            <v>1184.3828938317108</v>
          </cell>
          <cell r="Y327">
            <v>2763.5600856073252</v>
          </cell>
          <cell r="Z327">
            <v>1184.3828938317108</v>
          </cell>
          <cell r="AA327">
            <v>131.59809931463454</v>
          </cell>
          <cell r="AB327">
            <v>19.924508292717125</v>
          </cell>
          <cell r="AC327">
            <v>3</v>
          </cell>
          <cell r="AD327">
            <v>21.15071919295583</v>
          </cell>
          <cell r="AE327">
            <v>34.028672870397443</v>
          </cell>
          <cell r="AF327">
            <v>6.8971750164902792</v>
          </cell>
          <cell r="AG327">
            <v>9.7480073566395955</v>
          </cell>
          <cell r="AH327" t="str">
            <v>Electricidad</v>
          </cell>
          <cell r="AI327">
            <v>131.59809931463454</v>
          </cell>
          <cell r="AJ327">
            <v>3</v>
          </cell>
          <cell r="AK327">
            <v>43.866033104878177</v>
          </cell>
        </row>
        <row r="328">
          <cell r="A328" t="str">
            <v>C120</v>
          </cell>
          <cell r="B328" t="str">
            <v>COND</v>
          </cell>
          <cell r="C328" t="str">
            <v>WWOLEII09080700700</v>
          </cell>
          <cell r="D328" t="str">
            <v>VENTANILLA, SANTA ROSA Y MALACAS</v>
          </cell>
          <cell r="E328" t="str">
            <v>MONT TUBERIA RIGIDA METALICA PESADA&lt;=2 IN</v>
          </cell>
          <cell r="F328" t="str">
            <v>INSTALACIÓN DE TUBERIA, DE TODOS LOS DIAMETROS HASTA 2 PUGADAS. INCLUYE DOBLADO, CORTE, ROSCADO, INSTALACIÓN DE ACCESORIOS O CONDULETAS Y SOPORTES ETC.</v>
          </cell>
          <cell r="G328" t="str">
            <v>LEII0900</v>
          </cell>
          <cell r="H328" t="str">
            <v>M</v>
          </cell>
          <cell r="I328">
            <v>1</v>
          </cell>
          <cell r="J328">
            <v>1</v>
          </cell>
          <cell r="K328">
            <v>3</v>
          </cell>
          <cell r="L328">
            <v>3</v>
          </cell>
          <cell r="M328" t="str">
            <v>SI</v>
          </cell>
          <cell r="N328">
            <v>4</v>
          </cell>
          <cell r="O328">
            <v>3</v>
          </cell>
          <cell r="P328">
            <v>3</v>
          </cell>
          <cell r="Q328">
            <v>12</v>
          </cell>
          <cell r="R328">
            <v>9</v>
          </cell>
          <cell r="S328">
            <v>9</v>
          </cell>
          <cell r="T328">
            <v>131.59809931463454</v>
          </cell>
          <cell r="U328">
            <v>131.59809931463454</v>
          </cell>
          <cell r="V328">
            <v>131.59809931463454</v>
          </cell>
          <cell r="W328">
            <v>1579.1771917756146</v>
          </cell>
          <cell r="X328">
            <v>1184.3828938317108</v>
          </cell>
          <cell r="Y328">
            <v>2763.5600856073252</v>
          </cell>
          <cell r="Z328">
            <v>1184.3828938317108</v>
          </cell>
          <cell r="AA328">
            <v>131.59809931463454</v>
          </cell>
          <cell r="AB328">
            <v>19.924508292717125</v>
          </cell>
          <cell r="AC328">
            <v>3</v>
          </cell>
          <cell r="AD328">
            <v>21.15071919295583</v>
          </cell>
          <cell r="AE328">
            <v>34.028672870397443</v>
          </cell>
          <cell r="AF328">
            <v>6.8971750164902792</v>
          </cell>
          <cell r="AG328">
            <v>9.7480073566395955</v>
          </cell>
          <cell r="AH328" t="str">
            <v>Electricidad</v>
          </cell>
          <cell r="AI328">
            <v>131.59809931463454</v>
          </cell>
          <cell r="AJ328">
            <v>3</v>
          </cell>
          <cell r="AK328">
            <v>43.866033104878177</v>
          </cell>
        </row>
        <row r="329">
          <cell r="A329" t="str">
            <v>C130</v>
          </cell>
          <cell r="B329" t="str">
            <v>COND</v>
          </cell>
          <cell r="C329" t="str">
            <v>WWOLEII09080701500</v>
          </cell>
          <cell r="D329" t="str">
            <v>VENTANILLA, SANTA ROSA Y MALACAS</v>
          </cell>
          <cell r="E329" t="str">
            <v>MONTAJE TUBERIA FLEXI CONDUIT&lt;=4 IN</v>
          </cell>
          <cell r="F329" t="str">
            <v>INSTALACIÓN DE TUBERIA FLEXICONDUIT INCLUYE, DE TODOS LOS DIAMETROS. INCLUYE CORTE, PREPARACIÓN DE TERMINALES, INSTALACIÓN DE ACCESORIOS Y SOPORTES ETC.</v>
          </cell>
          <cell r="G329" t="str">
            <v>LEII0900</v>
          </cell>
          <cell r="H329" t="str">
            <v>M</v>
          </cell>
          <cell r="I329">
            <v>1</v>
          </cell>
          <cell r="J329">
            <v>1</v>
          </cell>
          <cell r="K329">
            <v>2</v>
          </cell>
          <cell r="L329">
            <v>2</v>
          </cell>
          <cell r="M329" t="str">
            <v>SI</v>
          </cell>
          <cell r="N329">
            <v>4</v>
          </cell>
          <cell r="O329">
            <v>3</v>
          </cell>
          <cell r="P329">
            <v>3</v>
          </cell>
          <cell r="Q329">
            <v>12</v>
          </cell>
          <cell r="R329">
            <v>9</v>
          </cell>
          <cell r="S329">
            <v>9</v>
          </cell>
          <cell r="T329">
            <v>95.896214108604823</v>
          </cell>
          <cell r="U329">
            <v>95.896214108604823</v>
          </cell>
          <cell r="V329">
            <v>95.896214108604823</v>
          </cell>
          <cell r="W329">
            <v>1150.754569303258</v>
          </cell>
          <cell r="X329">
            <v>863.06592697744338</v>
          </cell>
          <cell r="Y329">
            <v>2013.8204962807013</v>
          </cell>
          <cell r="Z329">
            <v>863.06592697744338</v>
          </cell>
          <cell r="AA329">
            <v>95.896214108604823</v>
          </cell>
          <cell r="AB329">
            <v>19.160296713371157</v>
          </cell>
          <cell r="AC329">
            <v>2</v>
          </cell>
          <cell r="AD329">
            <v>17.419902164492402</v>
          </cell>
          <cell r="AE329">
            <v>28.026288221313163</v>
          </cell>
          <cell r="AF329">
            <v>5.0260070287528729</v>
          </cell>
          <cell r="AG329">
            <v>7.1034232673040609</v>
          </cell>
          <cell r="AH329" t="str">
            <v>Electricidad</v>
          </cell>
          <cell r="AI329">
            <v>95.896214108604823</v>
          </cell>
          <cell r="AJ329">
            <v>2</v>
          </cell>
          <cell r="AK329">
            <v>47.948107054302412</v>
          </cell>
        </row>
        <row r="330">
          <cell r="A330" t="str">
            <v>C105</v>
          </cell>
          <cell r="B330" t="str">
            <v>COND</v>
          </cell>
          <cell r="C330" t="str">
            <v>WWOLEII09080705300</v>
          </cell>
          <cell r="D330" t="str">
            <v>VENTANILLA, SANTA ROSA Y MALACAS</v>
          </cell>
          <cell r="E330" t="str">
            <v>INSTALAC TABLERO/CUADRO ELECTR A PARED</v>
          </cell>
          <cell r="F330" t="str">
            <v>INSTALACIÓN DE TABLERO O CUADRO ELECTRICO CON UNA LONGITU LATERAL MAYOR A 20 PARA INSTALAR EN PARED. INCLUYE: PERFORACIÓN PARA EL INGRESO DE LOS CABLES Y PARA EL SOPORTE, NIVELACIÓN, CHAZOS, TORNILLOS, TUERCAS Y ARANDELAS. TABLERO SUMINISTRADO POR LA PROPIEDAD.</v>
          </cell>
          <cell r="G330" t="str">
            <v>LEII0900</v>
          </cell>
          <cell r="H330" t="str">
            <v>NUM</v>
          </cell>
          <cell r="I330">
            <v>1</v>
          </cell>
          <cell r="J330">
            <v>3</v>
          </cell>
          <cell r="K330">
            <v>2</v>
          </cell>
          <cell r="L330">
            <v>6</v>
          </cell>
          <cell r="M330" t="str">
            <v>NO</v>
          </cell>
          <cell r="N330">
            <v>4</v>
          </cell>
          <cell r="O330">
            <v>3</v>
          </cell>
          <cell r="P330">
            <v>3</v>
          </cell>
          <cell r="Q330">
            <v>12</v>
          </cell>
          <cell r="R330">
            <v>9</v>
          </cell>
          <cell r="S330">
            <v>9</v>
          </cell>
          <cell r="T330">
            <v>268.94665183174112</v>
          </cell>
          <cell r="U330">
            <v>268.94665183174112</v>
          </cell>
          <cell r="V330">
            <v>268.94665183174112</v>
          </cell>
          <cell r="W330">
            <v>3227.3598219808937</v>
          </cell>
          <cell r="X330">
            <v>2420.5198664856703</v>
          </cell>
          <cell r="Y330">
            <v>5647.8796884665644</v>
          </cell>
          <cell r="Z330">
            <v>2420.5198664856703</v>
          </cell>
          <cell r="AA330">
            <v>268.94665183174112</v>
          </cell>
          <cell r="AB330">
            <v>23.057832511738386</v>
          </cell>
          <cell r="AC330">
            <v>6</v>
          </cell>
          <cell r="AD330">
            <v>33.147483056773801</v>
          </cell>
          <cell r="AE330">
            <v>63.434463025609581</v>
          </cell>
          <cell r="AF330">
            <v>14.095736469168822</v>
          </cell>
          <cell r="AG330">
            <v>19.921974209758602</v>
          </cell>
          <cell r="AH330" t="str">
            <v>Electricidad</v>
          </cell>
          <cell r="AI330">
            <v>268.94665183174112</v>
          </cell>
          <cell r="AJ330">
            <v>6</v>
          </cell>
          <cell r="AK330">
            <v>44.824441971956851</v>
          </cell>
        </row>
        <row r="331">
          <cell r="A331" t="str">
            <v>C102</v>
          </cell>
          <cell r="B331" t="str">
            <v>COND</v>
          </cell>
          <cell r="C331" t="str">
            <v>WWOLEII09080705400</v>
          </cell>
          <cell r="D331" t="str">
            <v>VENTANILLA, SANTA ROSA Y MALACAS</v>
          </cell>
          <cell r="E331" t="str">
            <v>INST TABLERO/CUADRO ELECTR A PISO 1 PRTA</v>
          </cell>
          <cell r="F331" t="str">
            <v>INSTALACIÓN DE TABLERO O CUADRO ELECTRICO CON UNA LONGITU LATERAL MAYOR A 20 HASTA 80 CM PARA INSTALAR EN PISO CON UNA PUERTA. INCLUYE: PERFORACIÓN PARA EL INGRESO DE LOS CABLES Y PARA EL SOPORTE, NIVELACIÓN, CHAZOS, TORNILLOS, TUERCAS Y ARANDELAS. TABLERO SUMINISTRADO POR LA PROPIEDAD.</v>
          </cell>
          <cell r="G331" t="str">
            <v>LEII0900</v>
          </cell>
          <cell r="H331" t="str">
            <v>NUM</v>
          </cell>
          <cell r="I331">
            <v>1</v>
          </cell>
          <cell r="J331">
            <v>3</v>
          </cell>
          <cell r="K331">
            <v>2</v>
          </cell>
          <cell r="L331">
            <v>6</v>
          </cell>
          <cell r="M331" t="str">
            <v>NO</v>
          </cell>
          <cell r="N331">
            <v>4</v>
          </cell>
          <cell r="O331">
            <v>3</v>
          </cell>
          <cell r="P331">
            <v>3</v>
          </cell>
          <cell r="Q331">
            <v>12</v>
          </cell>
          <cell r="R331">
            <v>9</v>
          </cell>
          <cell r="S331">
            <v>9</v>
          </cell>
          <cell r="T331">
            <v>268.94665183174106</v>
          </cell>
          <cell r="U331">
            <v>268.94665183174106</v>
          </cell>
          <cell r="V331">
            <v>268.94665183174106</v>
          </cell>
          <cell r="W331">
            <v>3227.3598219808928</v>
          </cell>
          <cell r="X331">
            <v>2420.5198664856698</v>
          </cell>
          <cell r="Y331">
            <v>5647.8796884665626</v>
          </cell>
          <cell r="Z331">
            <v>2420.5198664856698</v>
          </cell>
          <cell r="AA331">
            <v>268.94665183174106</v>
          </cell>
          <cell r="AB331">
            <v>23.057832511738386</v>
          </cell>
          <cell r="AC331">
            <v>6</v>
          </cell>
          <cell r="AD331">
            <v>33.147483056773787</v>
          </cell>
          <cell r="AE331">
            <v>63.434463025609553</v>
          </cell>
          <cell r="AF331">
            <v>14.095736469168818</v>
          </cell>
          <cell r="AG331">
            <v>19.921974209758599</v>
          </cell>
          <cell r="AH331" t="str">
            <v>Electricidad</v>
          </cell>
          <cell r="AI331">
            <v>268.94665183174106</v>
          </cell>
          <cell r="AJ331">
            <v>6</v>
          </cell>
          <cell r="AK331">
            <v>44.824441971956844</v>
          </cell>
        </row>
        <row r="332">
          <cell r="A332" t="str">
            <v>C103</v>
          </cell>
          <cell r="B332" t="str">
            <v>COND</v>
          </cell>
          <cell r="C332" t="str">
            <v>WWOLEII09080705500</v>
          </cell>
          <cell r="D332" t="str">
            <v>VENTANILLA, SANTA ROSA Y MALACAS</v>
          </cell>
          <cell r="E332" t="str">
            <v>INST TABLERO/CUADRO ELECTR A PISO 2 PRTA</v>
          </cell>
          <cell r="F332" t="str">
            <v>INSTALACIÓN DE TABLERO O CUADRO ELECTRICO CON 2 PUERTAS CON UNA LONGITU LATERAL MAYOR 80 CM PARA INSTALAR EN PISO. INCLUYE: PERFORACIÓN PARA EL INGRESO DE LOS CABLES Y PARA EL SOPORTE, NIVELACIÓN, CHAZOS, TORNILLOS, TUERCAS Y ARANDELAS. TABLERO SUMINISTRADO POR LA PROPIEDAD.</v>
          </cell>
          <cell r="G332" t="str">
            <v>LEII0900</v>
          </cell>
          <cell r="H332" t="str">
            <v>NUM</v>
          </cell>
          <cell r="I332">
            <v>1</v>
          </cell>
          <cell r="J332">
            <v>3</v>
          </cell>
          <cell r="K332">
            <v>2</v>
          </cell>
          <cell r="L332">
            <v>6</v>
          </cell>
          <cell r="M332" t="str">
            <v>NO</v>
          </cell>
          <cell r="N332">
            <v>4</v>
          </cell>
          <cell r="O332">
            <v>3</v>
          </cell>
          <cell r="P332">
            <v>3</v>
          </cell>
          <cell r="Q332">
            <v>12</v>
          </cell>
          <cell r="R332">
            <v>9</v>
          </cell>
          <cell r="S332">
            <v>9</v>
          </cell>
          <cell r="T332">
            <v>268.94665183174106</v>
          </cell>
          <cell r="U332">
            <v>268.94665183174106</v>
          </cell>
          <cell r="V332">
            <v>268.94665183174106</v>
          </cell>
          <cell r="W332">
            <v>3227.3598219808928</v>
          </cell>
          <cell r="X332">
            <v>2420.5198664856698</v>
          </cell>
          <cell r="Y332">
            <v>5647.8796884665626</v>
          </cell>
          <cell r="Z332">
            <v>2420.5198664856698</v>
          </cell>
          <cell r="AA332">
            <v>268.94665183174106</v>
          </cell>
          <cell r="AB332">
            <v>23.057832511738386</v>
          </cell>
          <cell r="AC332">
            <v>6</v>
          </cell>
          <cell r="AD332">
            <v>33.147483056773787</v>
          </cell>
          <cell r="AE332">
            <v>63.434463025609553</v>
          </cell>
          <cell r="AF332">
            <v>14.095736469168818</v>
          </cell>
          <cell r="AG332">
            <v>19.921974209758599</v>
          </cell>
          <cell r="AH332" t="str">
            <v>Electricidad</v>
          </cell>
          <cell r="AI332">
            <v>268.94665183174106</v>
          </cell>
          <cell r="AJ332">
            <v>6</v>
          </cell>
          <cell r="AK332">
            <v>44.824441971956844</v>
          </cell>
        </row>
        <row r="333">
          <cell r="A333" t="str">
            <v>C114</v>
          </cell>
          <cell r="B333" t="str">
            <v>COND</v>
          </cell>
          <cell r="C333" t="str">
            <v>WWOLEII09080706600</v>
          </cell>
          <cell r="D333" t="str">
            <v>VENTANILLA, SANTA ROSA Y MALACAS</v>
          </cell>
          <cell r="E333" t="str">
            <v>INSTALACIÓN PUNTO ELECTRICO FUERZA &lt;=16A</v>
          </cell>
          <cell r="F333" t="str">
            <v>INSTALACIÓN DE PUNTO DE TOMA DE FUERZA, DATOS O MANIOBRA (PUNTO ELÉCTRICO) HASTA 16 A: INTERRUPTORES, CONMUTADORES, TOMAS DE FUERZA, TOMAS DE DATOS O TELEFONÍA. INCLUYE MONTAJE DE CAJA, INSTALACIÓN Y CONEXIÓN EL MECANISMO. SUMINISTRO POR LA PROPIEDAD.</v>
          </cell>
          <cell r="G333" t="str">
            <v>LEII0900</v>
          </cell>
          <cell r="H333" t="str">
            <v>NUM</v>
          </cell>
          <cell r="I333">
            <v>1</v>
          </cell>
          <cell r="J333">
            <v>1</v>
          </cell>
          <cell r="K333">
            <v>2</v>
          </cell>
          <cell r="L333">
            <v>2</v>
          </cell>
          <cell r="M333" t="str">
            <v>NO</v>
          </cell>
          <cell r="N333">
            <v>4</v>
          </cell>
          <cell r="O333">
            <v>3</v>
          </cell>
          <cell r="P333">
            <v>3</v>
          </cell>
          <cell r="Q333">
            <v>12</v>
          </cell>
          <cell r="R333">
            <v>9</v>
          </cell>
          <cell r="S333">
            <v>9</v>
          </cell>
          <cell r="T333">
            <v>96.224337159304767</v>
          </cell>
          <cell r="U333">
            <v>96.224337159304767</v>
          </cell>
          <cell r="V333">
            <v>96.224337159304767</v>
          </cell>
          <cell r="W333">
            <v>1154.6920459116573</v>
          </cell>
          <cell r="X333">
            <v>866.01903443374295</v>
          </cell>
          <cell r="Y333">
            <v>2020.7110803454002</v>
          </cell>
          <cell r="Z333">
            <v>866.01903443374295</v>
          </cell>
          <cell r="AA333">
            <v>96.224337159304767</v>
          </cell>
          <cell r="AB333">
            <v>23.057832511738386</v>
          </cell>
          <cell r="AC333">
            <v>2</v>
          </cell>
          <cell r="AD333">
            <v>14.541850475488797</v>
          </cell>
          <cell r="AE333">
            <v>23.395888728239857</v>
          </cell>
          <cell r="AF333">
            <v>5.0432042536323252</v>
          </cell>
          <cell r="AG333">
            <v>7.1277286784670197</v>
          </cell>
          <cell r="AH333" t="str">
            <v>Electricidad</v>
          </cell>
          <cell r="AI333">
            <v>96.224337159304767</v>
          </cell>
          <cell r="AJ333">
            <v>2</v>
          </cell>
          <cell r="AK333">
            <v>48.112168579652383</v>
          </cell>
        </row>
        <row r="334">
          <cell r="A334" t="str">
            <v>C115</v>
          </cell>
          <cell r="B334" t="str">
            <v>COND</v>
          </cell>
          <cell r="C334" t="str">
            <v>WWOLEII09080706700</v>
          </cell>
          <cell r="D334" t="str">
            <v>VENTANILLA, SANTA ROSA Y MALACAS</v>
          </cell>
          <cell r="E334" t="str">
            <v>INSTALACIÓN PUNTO ELECTRICO FUERZA &lt;=25A</v>
          </cell>
          <cell r="F334" t="str">
            <v>INSTALACIÓN DE PUNTO DE TOMA DE FUERZA INDUSTRIAL HASTA 4X25 A CON PUESTA A TIERRA. INCLUYE MONTAJE DE CAJA, MECANIZADO, INSTALACIÓN Y CONEXIÓN EL MECANISMO. SUMINISTRO POR LA PROPIEDAD.</v>
          </cell>
          <cell r="G334" t="str">
            <v>LEII0900</v>
          </cell>
          <cell r="H334" t="str">
            <v>NUM</v>
          </cell>
          <cell r="I334">
            <v>1</v>
          </cell>
          <cell r="J334">
            <v>1</v>
          </cell>
          <cell r="K334">
            <v>2</v>
          </cell>
          <cell r="L334">
            <v>2</v>
          </cell>
          <cell r="M334" t="str">
            <v>NO</v>
          </cell>
          <cell r="N334">
            <v>4</v>
          </cell>
          <cell r="O334">
            <v>3</v>
          </cell>
          <cell r="P334">
            <v>3</v>
          </cell>
          <cell r="Q334">
            <v>12</v>
          </cell>
          <cell r="R334">
            <v>9</v>
          </cell>
          <cell r="S334">
            <v>9</v>
          </cell>
          <cell r="T334">
            <v>96.224337159304767</v>
          </cell>
          <cell r="U334">
            <v>96.224337159304767</v>
          </cell>
          <cell r="V334">
            <v>96.224337159304767</v>
          </cell>
          <cell r="W334">
            <v>1154.6920459116573</v>
          </cell>
          <cell r="X334">
            <v>866.01903443374295</v>
          </cell>
          <cell r="Y334">
            <v>2020.7110803454002</v>
          </cell>
          <cell r="Z334">
            <v>866.01903443374295</v>
          </cell>
          <cell r="AA334">
            <v>96.224337159304767</v>
          </cell>
          <cell r="AB334">
            <v>23.057832511738386</v>
          </cell>
          <cell r="AC334">
            <v>2</v>
          </cell>
          <cell r="AD334">
            <v>14.541850475488797</v>
          </cell>
          <cell r="AE334">
            <v>23.395888728239857</v>
          </cell>
          <cell r="AF334">
            <v>5.0432042536323252</v>
          </cell>
          <cell r="AG334">
            <v>7.1277286784670197</v>
          </cell>
          <cell r="AH334" t="str">
            <v>Electricidad</v>
          </cell>
          <cell r="AI334">
            <v>96.224337159304767</v>
          </cell>
          <cell r="AJ334">
            <v>2</v>
          </cell>
          <cell r="AK334">
            <v>48.112168579652383</v>
          </cell>
        </row>
        <row r="335">
          <cell r="A335" t="str">
            <v>C132</v>
          </cell>
          <cell r="B335" t="str">
            <v>COND</v>
          </cell>
          <cell r="C335" t="str">
            <v>WWOLEII09081000400</v>
          </cell>
          <cell r="D335" t="str">
            <v>VENTANILLA, SANTA ROSA Y MALACAS</v>
          </cell>
          <cell r="E335" t="str">
            <v>COLOCAR TIERRA PORTÁTIL</v>
          </cell>
          <cell r="F335" t="str">
            <v>INSTALACIÓN DE PUESTA A TIERRA SOBRE CIRCUITOS DE POTENCIA. EL PRECIO INCLUYE INSTALACIÓN Y RETIRO. INCLUYE MATERIALES Y CONSUMIBLES.</v>
          </cell>
          <cell r="G335" t="str">
            <v>LEII0900</v>
          </cell>
          <cell r="H335" t="str">
            <v>NUM</v>
          </cell>
          <cell r="I335">
            <v>1</v>
          </cell>
          <cell r="J335">
            <v>2</v>
          </cell>
          <cell r="K335">
            <v>2</v>
          </cell>
          <cell r="L335">
            <v>4</v>
          </cell>
          <cell r="M335" t="str">
            <v>SI</v>
          </cell>
          <cell r="N335">
            <v>4</v>
          </cell>
          <cell r="O335">
            <v>3</v>
          </cell>
          <cell r="P335">
            <v>3</v>
          </cell>
          <cell r="Q335">
            <v>12</v>
          </cell>
          <cell r="R335">
            <v>9</v>
          </cell>
          <cell r="S335">
            <v>9</v>
          </cell>
          <cell r="T335">
            <v>191.79242821721039</v>
          </cell>
          <cell r="U335">
            <v>191.79242821721039</v>
          </cell>
          <cell r="V335">
            <v>191.79242821721039</v>
          </cell>
          <cell r="W335">
            <v>2301.5091386065246</v>
          </cell>
          <cell r="X335">
            <v>1726.1318539548934</v>
          </cell>
          <cell r="Y335">
            <v>4027.640992561418</v>
          </cell>
          <cell r="Z335">
            <v>1726.1318539548934</v>
          </cell>
          <cell r="AA335">
            <v>191.79242821721039</v>
          </cell>
          <cell r="AB335">
            <v>19.160296713371157</v>
          </cell>
          <cell r="AC335">
            <v>4</v>
          </cell>
          <cell r="AD335">
            <v>34.839804328985061</v>
          </cell>
          <cell r="AE335">
            <v>56.052576442626737</v>
          </cell>
          <cell r="AF335">
            <v>10.052014057505785</v>
          </cell>
          <cell r="AG335">
            <v>14.206846534608175</v>
          </cell>
          <cell r="AH335" t="str">
            <v>Electricidad</v>
          </cell>
          <cell r="AI335">
            <v>191.79242821721039</v>
          </cell>
          <cell r="AJ335">
            <v>4</v>
          </cell>
          <cell r="AK335">
            <v>47.948107054302596</v>
          </cell>
        </row>
        <row r="336">
          <cell r="A336" t="str">
            <v>C133</v>
          </cell>
          <cell r="B336" t="str">
            <v>COND</v>
          </cell>
          <cell r="C336" t="str">
            <v>WWOLEII09081000300</v>
          </cell>
          <cell r="D336" t="str">
            <v>VENTANILLA, SANTA ROSA Y MALACAS</v>
          </cell>
          <cell r="E336" t="str">
            <v>CORRECTIVO SIMPLE COLECTOR DE TIERRA</v>
          </cell>
          <cell r="F336" t="str">
            <v>INSTALACIÓN DE PLACA EN COBRE/ALUMINIO/HIERRO ZINCADO PARA RESTAURAR LA CONEXIÓN DEL COLECTOR DE TIERRA. INCLUYE MECANIZADO DE LA PLACA, MONTAJE Y COMPROBACIÓN DE LA CONEXIÓN.</v>
          </cell>
          <cell r="G336" t="str">
            <v>LEII0900</v>
          </cell>
          <cell r="H336" t="str">
            <v>M</v>
          </cell>
          <cell r="I336">
            <v>1</v>
          </cell>
          <cell r="J336">
            <v>2.5</v>
          </cell>
          <cell r="K336">
            <v>2</v>
          </cell>
          <cell r="L336">
            <v>5</v>
          </cell>
          <cell r="M336" t="str">
            <v>NO</v>
          </cell>
          <cell r="N336">
            <v>4</v>
          </cell>
          <cell r="O336">
            <v>3</v>
          </cell>
          <cell r="P336">
            <v>15</v>
          </cell>
          <cell r="Q336">
            <v>12</v>
          </cell>
          <cell r="R336">
            <v>9</v>
          </cell>
          <cell r="S336">
            <v>45</v>
          </cell>
          <cell r="T336">
            <v>240.56084289826191</v>
          </cell>
          <cell r="U336">
            <v>240.56084289826191</v>
          </cell>
          <cell r="V336">
            <v>240.56084289826191</v>
          </cell>
          <cell r="W336">
            <v>2886.7301147791432</v>
          </cell>
          <cell r="X336">
            <v>2165.0475860843571</v>
          </cell>
          <cell r="Y336">
            <v>5051.7777008635003</v>
          </cell>
          <cell r="Z336">
            <v>10825.237930421787</v>
          </cell>
          <cell r="AA336">
            <v>240.56084289826191</v>
          </cell>
          <cell r="AB336">
            <v>23.057832511738386</v>
          </cell>
          <cell r="AC336">
            <v>5</v>
          </cell>
          <cell r="AD336">
            <v>36.354626188721987</v>
          </cell>
          <cell r="AE336">
            <v>58.489721820599627</v>
          </cell>
          <cell r="AF336">
            <v>12.608010634080813</v>
          </cell>
          <cell r="AG336">
            <v>17.819321696167549</v>
          </cell>
          <cell r="AH336" t="str">
            <v>Electricidad</v>
          </cell>
          <cell r="AI336">
            <v>240.56084289826191</v>
          </cell>
          <cell r="AJ336">
            <v>5</v>
          </cell>
          <cell r="AK336">
            <v>48.112168579652383</v>
          </cell>
        </row>
        <row r="337">
          <cell r="A337" t="str">
            <v>C064</v>
          </cell>
          <cell r="B337" t="str">
            <v>COND</v>
          </cell>
          <cell r="C337" t="str">
            <v>WWOLEII09080500900</v>
          </cell>
          <cell r="D337" t="str">
            <v>VENTANILLA, SANTA ROSA Y MALACAS</v>
          </cell>
          <cell r="E337" t="str">
            <v>INSTALACIÓN NUEVA LUMINARIA - PROYECTOR</v>
          </cell>
          <cell r="F337" t="str">
            <v>INSTALACIÓN DE LUMINARIA NUEVA TIPO PROYECTOR HIGH BAY O DE TODA MANERA CON ALTURA MAYOR DE 4 METROS. INCLUYE TODOS LOS ACCESORIOS PARA EL MONTAJE Y CONEXIÓNES HASTA LOS BORNES LOCADOS EN LA PARTE INFERIOR. EXCLUYE CABLES, BANDEJAS Y MEDIOS DE ELEVACIÓN.</v>
          </cell>
          <cell r="G337" t="str">
            <v>LEII0900</v>
          </cell>
          <cell r="H337" t="str">
            <v>NUM</v>
          </cell>
          <cell r="I337">
            <v>1</v>
          </cell>
          <cell r="J337">
            <v>2</v>
          </cell>
          <cell r="K337">
            <v>2</v>
          </cell>
          <cell r="L337">
            <v>4</v>
          </cell>
          <cell r="M337" t="str">
            <v>SI</v>
          </cell>
          <cell r="N337">
            <v>4</v>
          </cell>
          <cell r="O337">
            <v>3</v>
          </cell>
          <cell r="P337">
            <v>3</v>
          </cell>
          <cell r="Q337">
            <v>12</v>
          </cell>
          <cell r="R337">
            <v>9</v>
          </cell>
          <cell r="S337">
            <v>9</v>
          </cell>
          <cell r="T337">
            <v>191.79242821721039</v>
          </cell>
          <cell r="U337">
            <v>191.79242821721039</v>
          </cell>
          <cell r="V337">
            <v>191.79242821721039</v>
          </cell>
          <cell r="W337">
            <v>2301.5091386065246</v>
          </cell>
          <cell r="X337">
            <v>1726.1318539548934</v>
          </cell>
          <cell r="Y337">
            <v>4027.640992561418</v>
          </cell>
          <cell r="Z337">
            <v>1726.1318539548934</v>
          </cell>
          <cell r="AA337">
            <v>191.79242821721039</v>
          </cell>
          <cell r="AB337">
            <v>19.160296713371157</v>
          </cell>
          <cell r="AC337">
            <v>4</v>
          </cell>
          <cell r="AD337">
            <v>34.839804328985061</v>
          </cell>
          <cell r="AE337">
            <v>56.052576442626737</v>
          </cell>
          <cell r="AF337">
            <v>10.052014057505785</v>
          </cell>
          <cell r="AG337">
            <v>14.206846534608175</v>
          </cell>
          <cell r="AH337" t="str">
            <v>Electricidad</v>
          </cell>
          <cell r="AI337">
            <v>191.79242821721039</v>
          </cell>
          <cell r="AJ337">
            <v>4</v>
          </cell>
          <cell r="AK337">
            <v>47.948107054302596</v>
          </cell>
        </row>
        <row r="338">
          <cell r="A338" t="str">
            <v>C066</v>
          </cell>
          <cell r="B338" t="str">
            <v>COND</v>
          </cell>
          <cell r="C338" t="str">
            <v>WWOLEII09080500800</v>
          </cell>
          <cell r="D338" t="str">
            <v>VENTANILLA, SANTA ROSA Y MALACAS</v>
          </cell>
          <cell r="E338" t="str">
            <v>INSTALACIÓN NUEVA LUMINARIA ALUM CARRET</v>
          </cell>
          <cell r="F338" t="str">
            <v>INSTALACIÓN DE LUMINARIA NUEVA PARA ALUMBRADO DE CARRETERAS CON ALTURA MAYOR DE 4 METROS. INCLUYE TODOS LOS ACCESORIOS PARA EL MONTAJE Y CONEXIÓNES HASTA LOS BORNES LOCADOS EN LA PARTE INFERIOR. EXCLUYE CABLES, BANDEJAS Y MEDIOS DE ELEVACIÓN.</v>
          </cell>
          <cell r="G338" t="str">
            <v>LEII0900</v>
          </cell>
          <cell r="H338" t="str">
            <v>NUM</v>
          </cell>
          <cell r="I338">
            <v>1</v>
          </cell>
          <cell r="J338">
            <v>2</v>
          </cell>
          <cell r="K338">
            <v>2</v>
          </cell>
          <cell r="L338">
            <v>4</v>
          </cell>
          <cell r="M338" t="str">
            <v>SI</v>
          </cell>
          <cell r="N338">
            <v>4</v>
          </cell>
          <cell r="O338">
            <v>3</v>
          </cell>
          <cell r="P338">
            <v>3</v>
          </cell>
          <cell r="Q338">
            <v>12</v>
          </cell>
          <cell r="R338">
            <v>9</v>
          </cell>
          <cell r="S338">
            <v>9</v>
          </cell>
          <cell r="T338">
            <v>191.79242821721039</v>
          </cell>
          <cell r="U338">
            <v>191.79242821721039</v>
          </cell>
          <cell r="V338">
            <v>191.79242821721039</v>
          </cell>
          <cell r="W338">
            <v>2301.5091386065246</v>
          </cell>
          <cell r="X338">
            <v>1726.1318539548934</v>
          </cell>
          <cell r="Y338">
            <v>4027.640992561418</v>
          </cell>
          <cell r="Z338">
            <v>1726.1318539548934</v>
          </cell>
          <cell r="AA338">
            <v>191.79242821721039</v>
          </cell>
          <cell r="AB338">
            <v>19.160296713371157</v>
          </cell>
          <cell r="AC338">
            <v>4</v>
          </cell>
          <cell r="AD338">
            <v>34.839804328985061</v>
          </cell>
          <cell r="AE338">
            <v>56.052576442626737</v>
          </cell>
          <cell r="AF338">
            <v>10.052014057505785</v>
          </cell>
          <cell r="AG338">
            <v>14.206846534608175</v>
          </cell>
          <cell r="AH338" t="str">
            <v>Electricidad</v>
          </cell>
          <cell r="AI338">
            <v>191.79242821721039</v>
          </cell>
          <cell r="AJ338">
            <v>4</v>
          </cell>
          <cell r="AK338">
            <v>47.948107054302596</v>
          </cell>
        </row>
        <row r="339">
          <cell r="A339" t="str">
            <v>C067</v>
          </cell>
          <cell r="B339" t="str">
            <v>COND</v>
          </cell>
          <cell r="C339" t="str">
            <v>WWOLEII09080500600</v>
          </cell>
          <cell r="D339" t="str">
            <v>VENTANILLA, SANTA ROSA Y MALACAS</v>
          </cell>
          <cell r="E339" t="str">
            <v>INSTALACIÓN NUEVA LUMINARIA EN OFICINAS</v>
          </cell>
          <cell r="F339" t="str">
            <v>INSTALACIÓN DE LUMINARIA NUEVA EN UN FALSO TECHO. EXCLUYE INSTALACIÓN NUEVOS CABLES.</v>
          </cell>
          <cell r="G339" t="str">
            <v>LEII0900</v>
          </cell>
          <cell r="H339" t="str">
            <v>NUM</v>
          </cell>
          <cell r="I339">
            <v>1</v>
          </cell>
          <cell r="J339">
            <v>2</v>
          </cell>
          <cell r="K339">
            <v>2</v>
          </cell>
          <cell r="L339">
            <v>4</v>
          </cell>
          <cell r="M339" t="str">
            <v>SI</v>
          </cell>
          <cell r="N339">
            <v>4</v>
          </cell>
          <cell r="O339">
            <v>3</v>
          </cell>
          <cell r="P339">
            <v>3</v>
          </cell>
          <cell r="Q339">
            <v>12</v>
          </cell>
          <cell r="R339">
            <v>9</v>
          </cell>
          <cell r="S339">
            <v>9</v>
          </cell>
          <cell r="T339">
            <v>192.44867431860948</v>
          </cell>
          <cell r="U339">
            <v>192.44867431860948</v>
          </cell>
          <cell r="V339">
            <v>192.44867431860948</v>
          </cell>
          <cell r="W339">
            <v>2309.3840918233136</v>
          </cell>
          <cell r="X339">
            <v>1732.0380688674852</v>
          </cell>
          <cell r="Y339">
            <v>4041.4221606907986</v>
          </cell>
          <cell r="Z339">
            <v>1732.0380688674852</v>
          </cell>
          <cell r="AA339">
            <v>192.44867431860948</v>
          </cell>
          <cell r="AB339">
            <v>23.057832511738386</v>
          </cell>
          <cell r="AC339">
            <v>4</v>
          </cell>
          <cell r="AD339">
            <v>29.083700950977573</v>
          </cell>
          <cell r="AE339">
            <v>46.791777456479679</v>
          </cell>
          <cell r="AF339">
            <v>10.086408507264647</v>
          </cell>
          <cell r="AG339">
            <v>14.255457356934034</v>
          </cell>
          <cell r="AH339" t="str">
            <v>Electricidad</v>
          </cell>
          <cell r="AI339">
            <v>192.44867431860948</v>
          </cell>
          <cell r="AJ339">
            <v>4</v>
          </cell>
          <cell r="AK339">
            <v>48.112168579652369</v>
          </cell>
        </row>
        <row r="340">
          <cell r="A340" t="str">
            <v>C065</v>
          </cell>
          <cell r="B340" t="str">
            <v>COND</v>
          </cell>
          <cell r="C340" t="str">
            <v>WWOLEII09080500700</v>
          </cell>
          <cell r="D340" t="str">
            <v>VENTANILLA, SANTA ROSA Y MALACAS</v>
          </cell>
          <cell r="E340" t="str">
            <v>INSTALACIÓN NUEVA LUMINARIA (OTRO TIPO)</v>
          </cell>
          <cell r="F340" t="str">
            <v>INSTALACIÓN DE LUMINARIA NUEVA DE CUALQUIER OTRO TIPO CON ALTURA HASTA LOS 4 METROS. INCLUYE TODOS LOS ACCESORIOS PARA EL MONTAJE Y CONEXIÓNES. EXCLUYE SUMINISTRO E INSTALACIÓN DE CABLES.</v>
          </cell>
          <cell r="G340" t="str">
            <v>LEII0900</v>
          </cell>
          <cell r="H340" t="str">
            <v>NUM</v>
          </cell>
          <cell r="I340">
            <v>1</v>
          </cell>
          <cell r="J340">
            <v>2</v>
          </cell>
          <cell r="K340">
            <v>2</v>
          </cell>
          <cell r="L340">
            <v>4</v>
          </cell>
          <cell r="M340" t="str">
            <v>SI</v>
          </cell>
          <cell r="N340">
            <v>4</v>
          </cell>
          <cell r="O340">
            <v>3</v>
          </cell>
          <cell r="P340">
            <v>3</v>
          </cell>
          <cell r="Q340">
            <v>12</v>
          </cell>
          <cell r="R340">
            <v>9</v>
          </cell>
          <cell r="S340">
            <v>9</v>
          </cell>
          <cell r="T340">
            <v>191.79242821720965</v>
          </cell>
          <cell r="U340">
            <v>191.79242821720965</v>
          </cell>
          <cell r="V340">
            <v>191.79242821720965</v>
          </cell>
          <cell r="W340">
            <v>2301.509138606516</v>
          </cell>
          <cell r="X340">
            <v>1726.1318539548868</v>
          </cell>
          <cell r="Y340">
            <v>4027.6409925614025</v>
          </cell>
          <cell r="Z340">
            <v>1726.1318539548868</v>
          </cell>
          <cell r="AA340">
            <v>191.79242821720965</v>
          </cell>
          <cell r="AB340">
            <v>19.160296713371157</v>
          </cell>
          <cell r="AC340">
            <v>4</v>
          </cell>
          <cell r="AD340">
            <v>34.839804328984805</v>
          </cell>
          <cell r="AE340">
            <v>56.052576442626325</v>
          </cell>
          <cell r="AF340">
            <v>10.052014057505746</v>
          </cell>
          <cell r="AG340">
            <v>14.206846534608122</v>
          </cell>
          <cell r="AH340" t="str">
            <v>Electricidad</v>
          </cell>
          <cell r="AI340">
            <v>191.79242821720965</v>
          </cell>
          <cell r="AJ340">
            <v>4</v>
          </cell>
          <cell r="AK340">
            <v>47.948107054302412</v>
          </cell>
        </row>
        <row r="341">
          <cell r="A341" t="str">
            <v>C104</v>
          </cell>
          <cell r="B341" t="str">
            <v>COND</v>
          </cell>
          <cell r="C341" t="str">
            <v>WWOLEII09080705200</v>
          </cell>
          <cell r="D341" t="str">
            <v>VENTANILLA, SANTA ROSA Y MALACAS</v>
          </cell>
          <cell r="E341" t="str">
            <v>INSTALAC CAJA PASO/DERIVACIÓN &gt;20 &lt;=60CM</v>
          </cell>
          <cell r="F341" t="str">
            <v>INSTALACIÓN DE CAJA DE PASO O DERIVACIÓN CON UNA LONGITU LATERAL MEYOR A 20 Y MENOR E IGUAL DE 60 CM, INCLUYE: PERFORACIÓN PARA EL INGRESO DE LOS CABLES Y PARA EL SOPORTE, NIVELACIÓN, CHAZOS, TORNILLOS, TUERCAS Y ARANDELAS. CAJA SUMINISTRADA POR LA PROPIEDAD</v>
          </cell>
          <cell r="G341" t="str">
            <v>LEII0900</v>
          </cell>
          <cell r="H341" t="str">
            <v>NUM</v>
          </cell>
          <cell r="I341">
            <v>1</v>
          </cell>
          <cell r="J341">
            <v>3</v>
          </cell>
          <cell r="K341">
            <v>2</v>
          </cell>
          <cell r="L341">
            <v>6</v>
          </cell>
          <cell r="M341" t="str">
            <v>NO</v>
          </cell>
          <cell r="N341">
            <v>4</v>
          </cell>
          <cell r="O341">
            <v>3</v>
          </cell>
          <cell r="P341">
            <v>3</v>
          </cell>
          <cell r="Q341">
            <v>12</v>
          </cell>
          <cell r="R341">
            <v>9</v>
          </cell>
          <cell r="S341">
            <v>9</v>
          </cell>
          <cell r="T341">
            <v>288.67301147791432</v>
          </cell>
          <cell r="U341">
            <v>288.67301147791432</v>
          </cell>
          <cell r="V341">
            <v>288.67301147791432</v>
          </cell>
          <cell r="W341">
            <v>3464.0761377349718</v>
          </cell>
          <cell r="X341">
            <v>2598.0571033012288</v>
          </cell>
          <cell r="Y341">
            <v>6062.1332410362011</v>
          </cell>
          <cell r="Z341">
            <v>2598.0571033012288</v>
          </cell>
          <cell r="AA341">
            <v>288.67301147791432</v>
          </cell>
          <cell r="AB341">
            <v>23.057832511738386</v>
          </cell>
          <cell r="AC341">
            <v>6</v>
          </cell>
          <cell r="AD341">
            <v>43.62555142646638</v>
          </cell>
          <cell r="AE341">
            <v>70.187666184719546</v>
          </cell>
          <cell r="AF341">
            <v>15.129612760896975</v>
          </cell>
          <cell r="AG341">
            <v>21.38318603540106</v>
          </cell>
          <cell r="AH341" t="str">
            <v>Electricidad</v>
          </cell>
          <cell r="AI341">
            <v>288.67301147791432</v>
          </cell>
          <cell r="AJ341">
            <v>6</v>
          </cell>
          <cell r="AK341">
            <v>48.112168579652383</v>
          </cell>
        </row>
        <row r="342">
          <cell r="A342" t="str">
            <v>C113</v>
          </cell>
          <cell r="B342" t="str">
            <v>COND</v>
          </cell>
          <cell r="C342" t="str">
            <v>WWOLEII09080705100</v>
          </cell>
          <cell r="D342" t="str">
            <v>VENTANILLA, SANTA ROSA Y MALACAS</v>
          </cell>
          <cell r="E342" t="str">
            <v>INSTALACIÓN CAJA PASO/DERIVACIÓN &lt;20CM</v>
          </cell>
          <cell r="F342" t="str">
            <v>INSTALACIÓN DE CAJA DE PASO O DERIVACIÓN CON UNA LONGITU LATERAL MENOR A 20 CM, INCLUYE: PERFORACIÓN PARA EL INGRESO DE LOS CABLES Y PARA EL SOPORTE, NIVELACIÓN, CHAZOS, TORNILLOS, TUERCAS Y ARANDELAS. CAJA SUMINISTRADA POR LA PROPIEDAD</v>
          </cell>
          <cell r="G342" t="str">
            <v>LEII0900</v>
          </cell>
          <cell r="H342" t="str">
            <v>NUM</v>
          </cell>
          <cell r="I342">
            <v>1</v>
          </cell>
          <cell r="J342">
            <v>1.5</v>
          </cell>
          <cell r="K342">
            <v>2</v>
          </cell>
          <cell r="L342">
            <v>3</v>
          </cell>
          <cell r="M342" t="str">
            <v>NO</v>
          </cell>
          <cell r="N342">
            <v>4</v>
          </cell>
          <cell r="O342">
            <v>3</v>
          </cell>
          <cell r="P342">
            <v>3</v>
          </cell>
          <cell r="Q342">
            <v>12</v>
          </cell>
          <cell r="R342">
            <v>9</v>
          </cell>
          <cell r="S342">
            <v>9</v>
          </cell>
          <cell r="T342">
            <v>116.79500071816341</v>
          </cell>
          <cell r="U342">
            <v>116.79500071816341</v>
          </cell>
          <cell r="V342">
            <v>116.79500071816341</v>
          </cell>
          <cell r="W342">
            <v>1401.5400086179609</v>
          </cell>
          <cell r="X342">
            <v>1051.1550064634707</v>
          </cell>
          <cell r="Y342">
            <v>2452.6950150814318</v>
          </cell>
          <cell r="Z342">
            <v>1051.1550064634707</v>
          </cell>
          <cell r="AA342">
            <v>116.79500071816341</v>
          </cell>
          <cell r="AB342">
            <v>23.057832511738386</v>
          </cell>
          <cell r="AC342">
            <v>3</v>
          </cell>
          <cell r="AD342">
            <v>12.591175798991722</v>
          </cell>
          <cell r="AE342">
            <v>20.257514574740881</v>
          </cell>
          <cell r="AF342">
            <v>6.1213312745368658</v>
          </cell>
          <cell r="AG342">
            <v>8.651481534678771</v>
          </cell>
          <cell r="AH342" t="str">
            <v>Electricidad</v>
          </cell>
          <cell r="AI342">
            <v>116.79500071816341</v>
          </cell>
          <cell r="AJ342">
            <v>3</v>
          </cell>
          <cell r="AK342">
            <v>38.931666906054467</v>
          </cell>
        </row>
        <row r="343">
          <cell r="A343" t="str">
            <v>C112</v>
          </cell>
          <cell r="B343" t="str">
            <v>COND</v>
          </cell>
          <cell r="C343" t="str">
            <v>WWOLEII09080702800</v>
          </cell>
          <cell r="D343" t="str">
            <v>VENTANILLA, SANTA ROSA Y MALACAS</v>
          </cell>
          <cell r="E343" t="str">
            <v>INSTALACIÓN CABLE SEÑALES HASTA 24 PARES</v>
          </cell>
          <cell r="F343" t="str">
            <v xml:space="preserve">INSTALACIÓN DE CABLE DE SEÑAL EN COBRE DE CUALQUIER TIPO POR CANALIZACIÓN EXISTENTES. </v>
          </cell>
          <cell r="G343" t="str">
            <v>LEII0900</v>
          </cell>
          <cell r="H343" t="str">
            <v>M</v>
          </cell>
          <cell r="I343">
            <v>1</v>
          </cell>
          <cell r="J343">
            <v>2.5</v>
          </cell>
          <cell r="K343">
            <v>2</v>
          </cell>
          <cell r="L343">
            <v>5</v>
          </cell>
          <cell r="M343" t="str">
            <v>SI</v>
          </cell>
          <cell r="N343">
            <v>4</v>
          </cell>
          <cell r="O343">
            <v>3</v>
          </cell>
          <cell r="P343">
            <v>3</v>
          </cell>
          <cell r="Q343">
            <v>12</v>
          </cell>
          <cell r="R343">
            <v>9</v>
          </cell>
          <cell r="S343">
            <v>9</v>
          </cell>
          <cell r="T343">
            <v>254.59178521241583</v>
          </cell>
          <cell r="U343">
            <v>254.59178521241583</v>
          </cell>
          <cell r="V343">
            <v>254.59178521241583</v>
          </cell>
          <cell r="W343">
            <v>3055.1014225489898</v>
          </cell>
          <cell r="X343">
            <v>2291.3260669117426</v>
          </cell>
          <cell r="Y343">
            <v>5346.4274894607324</v>
          </cell>
          <cell r="Z343">
            <v>2291.3260669117426</v>
          </cell>
          <cell r="AA343">
            <v>254.59178521241583</v>
          </cell>
          <cell r="AB343">
            <v>19.160296713371157</v>
          </cell>
          <cell r="AC343">
            <v>5</v>
          </cell>
          <cell r="AD343">
            <v>45.015704733376772</v>
          </cell>
          <cell r="AE343">
            <v>81.572561186503862</v>
          </cell>
          <cell r="AF343">
            <v>13.343384969204184</v>
          </cell>
          <cell r="AG343">
            <v>18.858650756475246</v>
          </cell>
          <cell r="AH343" t="str">
            <v>Electricidad</v>
          </cell>
          <cell r="AI343">
            <v>254.59178521241583</v>
          </cell>
          <cell r="AJ343">
            <v>5</v>
          </cell>
          <cell r="AK343">
            <v>50.918357042483166</v>
          </cell>
        </row>
        <row r="344">
          <cell r="A344" t="str">
            <v>C111</v>
          </cell>
          <cell r="B344" t="str">
            <v>COND</v>
          </cell>
          <cell r="C344" t="str">
            <v>WWOLEII09080703400</v>
          </cell>
          <cell r="D344" t="str">
            <v>VENTANILLA, SANTA ROSA Y MALACAS</v>
          </cell>
          <cell r="E344" t="str">
            <v>INSTALACIÓN CABLE DE POTENCIA &gt;50 MM</v>
          </cell>
          <cell r="F344" t="str">
            <v>INSTALACIÓN DE CABLE DE POTENCIA UNIPOLAR O MULTIPOLAR POR CANALIZACIÓN EXISTENTES, CON UN DIAMETRO EXTERNO O TOTAL INFERIOR A 50 MM.</v>
          </cell>
          <cell r="G344" t="str">
            <v>LEII0900</v>
          </cell>
          <cell r="H344" t="str">
            <v>M</v>
          </cell>
          <cell r="I344">
            <v>1</v>
          </cell>
          <cell r="J344">
            <v>1</v>
          </cell>
          <cell r="K344">
            <v>2</v>
          </cell>
          <cell r="L344">
            <v>2</v>
          </cell>
          <cell r="M344" t="str">
            <v>SI</v>
          </cell>
          <cell r="N344">
            <v>4</v>
          </cell>
          <cell r="O344">
            <v>3</v>
          </cell>
          <cell r="P344">
            <v>3</v>
          </cell>
          <cell r="Q344">
            <v>12</v>
          </cell>
          <cell r="R344">
            <v>9</v>
          </cell>
          <cell r="S344">
            <v>9</v>
          </cell>
          <cell r="T344">
            <v>95.896214108605079</v>
          </cell>
          <cell r="U344">
            <v>95.896214108605079</v>
          </cell>
          <cell r="V344">
            <v>95.896214108605079</v>
          </cell>
          <cell r="W344">
            <v>1150.754569303261</v>
          </cell>
          <cell r="X344">
            <v>863.06592697744577</v>
          </cell>
          <cell r="Y344">
            <v>2013.8204962807067</v>
          </cell>
          <cell r="Z344">
            <v>863.06592697744577</v>
          </cell>
          <cell r="AA344">
            <v>95.896214108605079</v>
          </cell>
          <cell r="AB344">
            <v>19.160296713371157</v>
          </cell>
          <cell r="AC344">
            <v>2</v>
          </cell>
          <cell r="AD344">
            <v>17.419902164492491</v>
          </cell>
          <cell r="AE344">
            <v>28.026288221313308</v>
          </cell>
          <cell r="AF344">
            <v>5.0260070287528862</v>
          </cell>
          <cell r="AG344">
            <v>7.1034232673040805</v>
          </cell>
          <cell r="AH344" t="str">
            <v>Electricidad</v>
          </cell>
          <cell r="AI344">
            <v>95.896214108605079</v>
          </cell>
          <cell r="AJ344">
            <v>2</v>
          </cell>
          <cell r="AK344">
            <v>47.94810705430254</v>
          </cell>
        </row>
        <row r="345">
          <cell r="A345" t="str">
            <v>C110</v>
          </cell>
          <cell r="B345" t="str">
            <v>COND</v>
          </cell>
          <cell r="C345" t="str">
            <v>WWOLEII09080703300</v>
          </cell>
          <cell r="D345" t="str">
            <v>VENTANILLA, SANTA ROSA Y MALACAS</v>
          </cell>
          <cell r="E345" t="str">
            <v>INSTALACIÓN CABLE DE POTENCIA &gt;30 &lt;=50MM</v>
          </cell>
          <cell r="F345" t="str">
            <v>INSTALACIÓN DE CABLE DE POTENCIA UNIPOLAR O MULTIPOLAR POR CANALIZACIÓN EXISTENTES, CON UN DIAMETRO EXTERNO O TOTAL INFERIOR A 30 MM A 50MM.</v>
          </cell>
          <cell r="G345" t="str">
            <v>LEII0900</v>
          </cell>
          <cell r="H345" t="str">
            <v>M</v>
          </cell>
          <cell r="I345">
            <v>1</v>
          </cell>
          <cell r="J345">
            <v>1</v>
          </cell>
          <cell r="K345">
            <v>2</v>
          </cell>
          <cell r="L345">
            <v>2</v>
          </cell>
          <cell r="M345" t="str">
            <v>SI</v>
          </cell>
          <cell r="N345">
            <v>4</v>
          </cell>
          <cell r="O345">
            <v>3</v>
          </cell>
          <cell r="P345">
            <v>3</v>
          </cell>
          <cell r="Q345">
            <v>12</v>
          </cell>
          <cell r="R345">
            <v>9</v>
          </cell>
          <cell r="S345">
            <v>9</v>
          </cell>
          <cell r="T345">
            <v>95.896214108604823</v>
          </cell>
          <cell r="U345">
            <v>95.896214108604823</v>
          </cell>
          <cell r="V345">
            <v>95.896214108604823</v>
          </cell>
          <cell r="W345">
            <v>1150.754569303258</v>
          </cell>
          <cell r="X345">
            <v>863.06592697744338</v>
          </cell>
          <cell r="Y345">
            <v>2013.8204962807013</v>
          </cell>
          <cell r="Z345">
            <v>863.06592697744338</v>
          </cell>
          <cell r="AA345">
            <v>95.896214108604823</v>
          </cell>
          <cell r="AB345">
            <v>19.160296713371157</v>
          </cell>
          <cell r="AC345">
            <v>2</v>
          </cell>
          <cell r="AD345">
            <v>17.419902164492402</v>
          </cell>
          <cell r="AE345">
            <v>28.026288221313163</v>
          </cell>
          <cell r="AF345">
            <v>5.0260070287528729</v>
          </cell>
          <cell r="AG345">
            <v>7.1034232673040609</v>
          </cell>
          <cell r="AH345" t="str">
            <v>Electricidad</v>
          </cell>
          <cell r="AI345">
            <v>95.896214108604823</v>
          </cell>
          <cell r="AJ345">
            <v>2</v>
          </cell>
          <cell r="AK345">
            <v>47.948107054302412</v>
          </cell>
        </row>
        <row r="346">
          <cell r="A346" t="str">
            <v>C109</v>
          </cell>
          <cell r="B346" t="str">
            <v>COND</v>
          </cell>
          <cell r="C346" t="str">
            <v>WWOLEII09080703200</v>
          </cell>
          <cell r="D346" t="str">
            <v>VENTANILLA, SANTA ROSA Y MALACAS</v>
          </cell>
          <cell r="E346" t="str">
            <v>INSTALACIÓN CABLE DE POTENCIA &gt;20 &lt;=30MM</v>
          </cell>
          <cell r="F346" t="str">
            <v>INSTALACIÓN DE CABLE DE POTENCIA UNIPOLAR O MULTIPOLAR POR CANALIZACIÓN EXISTENTES, CON UN DIAMETRO EXTERNO O TOTAL INFERIOR A 20 MM A 30MM.</v>
          </cell>
          <cell r="G346" t="str">
            <v>LEII0900</v>
          </cell>
          <cell r="H346" t="str">
            <v>M</v>
          </cell>
          <cell r="I346">
            <v>1</v>
          </cell>
          <cell r="J346">
            <v>1</v>
          </cell>
          <cell r="K346">
            <v>2</v>
          </cell>
          <cell r="L346">
            <v>2</v>
          </cell>
          <cell r="M346" t="str">
            <v>SI</v>
          </cell>
          <cell r="N346">
            <v>4</v>
          </cell>
          <cell r="O346">
            <v>3</v>
          </cell>
          <cell r="P346">
            <v>3</v>
          </cell>
          <cell r="Q346">
            <v>12</v>
          </cell>
          <cell r="R346">
            <v>9</v>
          </cell>
          <cell r="S346">
            <v>9</v>
          </cell>
          <cell r="T346">
            <v>95.896214108604951</v>
          </cell>
          <cell r="U346">
            <v>95.896214108604951</v>
          </cell>
          <cell r="V346">
            <v>95.896214108604951</v>
          </cell>
          <cell r="W346">
            <v>1150.7545693032594</v>
          </cell>
          <cell r="X346">
            <v>863.06592697744452</v>
          </cell>
          <cell r="Y346">
            <v>2013.820496280704</v>
          </cell>
          <cell r="Z346">
            <v>863.06592697744452</v>
          </cell>
          <cell r="AA346">
            <v>95.896214108604951</v>
          </cell>
          <cell r="AB346">
            <v>19.160296713371157</v>
          </cell>
          <cell r="AC346">
            <v>2</v>
          </cell>
          <cell r="AD346">
            <v>17.419902164492449</v>
          </cell>
          <cell r="AE346">
            <v>28.026288221313234</v>
          </cell>
          <cell r="AF346">
            <v>5.02600702875288</v>
          </cell>
          <cell r="AG346">
            <v>7.1034232673040707</v>
          </cell>
          <cell r="AH346" t="str">
            <v>Electricidad</v>
          </cell>
          <cell r="AI346">
            <v>95.896214108604951</v>
          </cell>
          <cell r="AJ346">
            <v>2</v>
          </cell>
          <cell r="AK346">
            <v>47.948107054302476</v>
          </cell>
        </row>
        <row r="347">
          <cell r="A347" t="str">
            <v>C107</v>
          </cell>
          <cell r="B347" t="str">
            <v>COND</v>
          </cell>
          <cell r="C347" t="str">
            <v>WWOLEII09080703000</v>
          </cell>
          <cell r="D347" t="str">
            <v>VENTANILLA, SANTA ROSA Y MALACAS</v>
          </cell>
          <cell r="E347" t="str">
            <v>INSTALACIÓN CABLE DE POTENCIA &lt;=10 MM</v>
          </cell>
          <cell r="F347" t="str">
            <v>INSTALACIÓN DE CABLE DE POTENCIA UNIPOLAR O MULTIPOLAR POR CANALIZACIÓN EXISTENTES, CON UN DIAMETRO EXTERNO O TOTAL INFERIOR A 10 MM.</v>
          </cell>
          <cell r="G347" t="str">
            <v>LEII0900</v>
          </cell>
          <cell r="H347" t="str">
            <v>M</v>
          </cell>
          <cell r="I347">
            <v>1</v>
          </cell>
          <cell r="J347">
            <v>1</v>
          </cell>
          <cell r="K347">
            <v>2</v>
          </cell>
          <cell r="L347">
            <v>2</v>
          </cell>
          <cell r="M347" t="str">
            <v>SI</v>
          </cell>
          <cell r="N347">
            <v>4</v>
          </cell>
          <cell r="O347">
            <v>3</v>
          </cell>
          <cell r="P347">
            <v>3</v>
          </cell>
          <cell r="Q347">
            <v>12</v>
          </cell>
          <cell r="R347">
            <v>9</v>
          </cell>
          <cell r="S347">
            <v>9</v>
          </cell>
          <cell r="T347">
            <v>95.896214108605292</v>
          </cell>
          <cell r="U347">
            <v>95.896214108605292</v>
          </cell>
          <cell r="V347">
            <v>95.896214108605292</v>
          </cell>
          <cell r="W347">
            <v>1150.7545693032635</v>
          </cell>
          <cell r="X347">
            <v>863.06592697744759</v>
          </cell>
          <cell r="Y347">
            <v>2013.820496280711</v>
          </cell>
          <cell r="Z347">
            <v>863.06592697744759</v>
          </cell>
          <cell r="AA347">
            <v>95.896214108605292</v>
          </cell>
          <cell r="AB347">
            <v>19.160296713371157</v>
          </cell>
          <cell r="AC347">
            <v>2</v>
          </cell>
          <cell r="AD347">
            <v>17.419902164492566</v>
          </cell>
          <cell r="AE347">
            <v>28.026288221313422</v>
          </cell>
          <cell r="AF347">
            <v>5.0260070287528977</v>
          </cell>
          <cell r="AG347">
            <v>7.1034232673040956</v>
          </cell>
          <cell r="AH347" t="str">
            <v>Electricidad</v>
          </cell>
          <cell r="AI347">
            <v>95.896214108605292</v>
          </cell>
          <cell r="AJ347">
            <v>2</v>
          </cell>
          <cell r="AK347">
            <v>47.948107054302646</v>
          </cell>
        </row>
        <row r="348">
          <cell r="A348" t="str">
            <v>C108</v>
          </cell>
          <cell r="B348" t="str">
            <v>COND</v>
          </cell>
          <cell r="C348" t="str">
            <v>WWOLEII09080703100</v>
          </cell>
          <cell r="D348" t="str">
            <v>VENTANILLA, SANTA ROSA Y MALACAS</v>
          </cell>
          <cell r="E348" t="str">
            <v>INSTALACIÓN CABLE DE POTENCIA &gt;10 &lt;=20MM</v>
          </cell>
          <cell r="F348" t="str">
            <v>INSTALACIÓN DE CABLE DE POTENCIA UNIPOLAR O MULTIPOLAR POR CANALIZACIÓN EXISTENTES, CON UN DIAMETRO EXTERNO O TOTAL INFERIOR A 10 MM A 20MM.</v>
          </cell>
          <cell r="G348" t="str">
            <v>LEII0900</v>
          </cell>
          <cell r="H348" t="str">
            <v>M</v>
          </cell>
          <cell r="I348">
            <v>1</v>
          </cell>
          <cell r="J348">
            <v>1</v>
          </cell>
          <cell r="K348">
            <v>2</v>
          </cell>
          <cell r="L348">
            <v>2</v>
          </cell>
          <cell r="M348" t="str">
            <v>SI</v>
          </cell>
          <cell r="N348">
            <v>4</v>
          </cell>
          <cell r="O348">
            <v>3</v>
          </cell>
          <cell r="P348">
            <v>3</v>
          </cell>
          <cell r="Q348">
            <v>12</v>
          </cell>
          <cell r="R348">
            <v>9</v>
          </cell>
          <cell r="S348">
            <v>9</v>
          </cell>
          <cell r="T348">
            <v>95.896214108605193</v>
          </cell>
          <cell r="U348">
            <v>95.896214108605193</v>
          </cell>
          <cell r="V348">
            <v>95.896214108605193</v>
          </cell>
          <cell r="W348">
            <v>1150.7545693032623</v>
          </cell>
          <cell r="X348">
            <v>863.06592697744668</v>
          </cell>
          <cell r="Y348">
            <v>2013.820496280709</v>
          </cell>
          <cell r="Z348">
            <v>863.06592697744668</v>
          </cell>
          <cell r="AA348">
            <v>95.896214108605193</v>
          </cell>
          <cell r="AB348">
            <v>19.160296713371157</v>
          </cell>
          <cell r="AC348">
            <v>2</v>
          </cell>
          <cell r="AD348">
            <v>17.41990216449253</v>
          </cell>
          <cell r="AE348">
            <v>28.026288221313369</v>
          </cell>
          <cell r="AF348">
            <v>5.0260070287528924</v>
          </cell>
          <cell r="AG348">
            <v>7.1034232673040876</v>
          </cell>
          <cell r="AH348" t="str">
            <v>Electricidad</v>
          </cell>
          <cell r="AI348">
            <v>95.896214108605193</v>
          </cell>
          <cell r="AJ348">
            <v>2</v>
          </cell>
          <cell r="AK348">
            <v>47.948107054302596</v>
          </cell>
        </row>
        <row r="349">
          <cell r="A349" t="str">
            <v>C106</v>
          </cell>
          <cell r="B349" t="str">
            <v>COND</v>
          </cell>
          <cell r="C349" t="str">
            <v>WWOLEII09080706500</v>
          </cell>
          <cell r="D349" t="str">
            <v>VENTANILLA, SANTA ROSA Y MALACAS</v>
          </cell>
          <cell r="E349" t="str">
            <v>INSTALACIÓN CABLE CALENTADOR PYROTENAX</v>
          </cell>
          <cell r="F349" t="str">
            <v xml:space="preserve">INSTALACIÓN DE CABLE DE CALEFACCIÓN (TRACEADO) EN CONTACTO DIRECTO CON TUBERÍA O EQUIPO. SE INCLUYE FIJACIÓN DEL CABLE A LA TUBERÍA O EQUIPO MEDIANTE ABRAZAERAS METÁLICAS CADA 0,5 MTS Y PROTECCIÓN DEL CABLE EN EL PASO DE BRIDAS O BORDES MEDIANTE LÁMINA METÁLICA (SUMINISTROS INCLUIDOS). INSTLACIÓN DE MARCAS DE CABLE. PRUEBA DE AISLAMIENTO. NO SE INCLUYE LA RETIRADA O REPOSICIÓN DEL CALORIFUGADO. </v>
          </cell>
          <cell r="G349" t="str">
            <v>LEII0900</v>
          </cell>
          <cell r="H349" t="str">
            <v>M</v>
          </cell>
          <cell r="I349">
            <v>1</v>
          </cell>
          <cell r="J349">
            <v>1</v>
          </cell>
          <cell r="K349">
            <v>2</v>
          </cell>
          <cell r="L349">
            <v>2</v>
          </cell>
          <cell r="M349" t="str">
            <v>NO</v>
          </cell>
          <cell r="N349">
            <v>4</v>
          </cell>
          <cell r="O349">
            <v>3</v>
          </cell>
          <cell r="P349">
            <v>3</v>
          </cell>
          <cell r="Q349">
            <v>12</v>
          </cell>
          <cell r="R349">
            <v>9</v>
          </cell>
          <cell r="S349">
            <v>9</v>
          </cell>
          <cell r="T349">
            <v>96.224337159304767</v>
          </cell>
          <cell r="U349">
            <v>96.224337159304767</v>
          </cell>
          <cell r="V349">
            <v>96.224337159304767</v>
          </cell>
          <cell r="W349">
            <v>1154.6920459116573</v>
          </cell>
          <cell r="X349">
            <v>866.01903443374295</v>
          </cell>
          <cell r="Y349">
            <v>2020.7110803454002</v>
          </cell>
          <cell r="Z349">
            <v>866.01903443374295</v>
          </cell>
          <cell r="AA349">
            <v>96.224337159304767</v>
          </cell>
          <cell r="AB349">
            <v>23.057832511738386</v>
          </cell>
          <cell r="AC349">
            <v>2</v>
          </cell>
          <cell r="AD349">
            <v>14.541850475488797</v>
          </cell>
          <cell r="AE349">
            <v>23.395888728239857</v>
          </cell>
          <cell r="AF349">
            <v>5.0432042536323252</v>
          </cell>
          <cell r="AG349">
            <v>7.1277286784670197</v>
          </cell>
          <cell r="AH349" t="str">
            <v>Electricidad</v>
          </cell>
          <cell r="AI349">
            <v>96.224337159304767</v>
          </cell>
          <cell r="AJ349">
            <v>2</v>
          </cell>
          <cell r="AK349">
            <v>48.112168579652383</v>
          </cell>
        </row>
        <row r="350">
          <cell r="A350" t="str">
            <v>C136</v>
          </cell>
          <cell r="B350" t="str">
            <v>COND</v>
          </cell>
          <cell r="C350" t="str">
            <v>WWOLEII09081000500</v>
          </cell>
          <cell r="D350" t="str">
            <v>VENTANILLA, SANTA ROSA Y MALACAS</v>
          </cell>
          <cell r="E350" t="str">
            <v>INSTALACIÓN CABLE PUESTA A TIERRA &lt;=95MM2</v>
          </cell>
          <cell r="F350" t="str">
            <v>INSTALACIÓN CABLE DE COBRE DESNUDO DE PUESTA A TIERRA DE HASTA 95 MM2. SE INCLUYE SUMINISTRO Y MONTAJE PARTE PROPORCIÓNAL DE ACCESORIOS DE FIJACIÓN Y CONEXIÓN.</v>
          </cell>
          <cell r="G350" t="str">
            <v>LEII0900</v>
          </cell>
          <cell r="H350" t="str">
            <v>M</v>
          </cell>
          <cell r="I350">
            <v>1</v>
          </cell>
          <cell r="J350">
            <v>0.25</v>
          </cell>
          <cell r="K350">
            <v>2</v>
          </cell>
          <cell r="L350">
            <v>0.5</v>
          </cell>
          <cell r="M350" t="str">
            <v>NO</v>
          </cell>
          <cell r="N350">
            <v>40</v>
          </cell>
          <cell r="O350">
            <v>30</v>
          </cell>
          <cell r="P350">
            <v>30</v>
          </cell>
          <cell r="Q350">
            <v>120</v>
          </cell>
          <cell r="R350">
            <v>90</v>
          </cell>
          <cell r="S350">
            <v>90</v>
          </cell>
          <cell r="T350">
            <v>24.056084289826192</v>
          </cell>
          <cell r="U350">
            <v>24.056084289826192</v>
          </cell>
          <cell r="V350">
            <v>24.056084289826192</v>
          </cell>
          <cell r="W350">
            <v>2886.7301147791432</v>
          </cell>
          <cell r="X350">
            <v>2165.0475860843571</v>
          </cell>
          <cell r="Y350">
            <v>5051.7777008635003</v>
          </cell>
          <cell r="Z350">
            <v>2165.0475860843571</v>
          </cell>
          <cell r="AA350">
            <v>24.056084289826192</v>
          </cell>
          <cell r="AB350">
            <v>23.057832511738386</v>
          </cell>
          <cell r="AC350">
            <v>0.5</v>
          </cell>
          <cell r="AD350">
            <v>3.6354626188721992</v>
          </cell>
          <cell r="AE350">
            <v>5.8489721820599643</v>
          </cell>
          <cell r="AF350">
            <v>1.2608010634080813</v>
          </cell>
          <cell r="AG350">
            <v>1.7819321696167549</v>
          </cell>
          <cell r="AH350" t="str">
            <v>Electricidad</v>
          </cell>
          <cell r="AI350">
            <v>24.056084289826192</v>
          </cell>
          <cell r="AJ350">
            <v>0.5</v>
          </cell>
          <cell r="AK350">
            <v>48.112168579652383</v>
          </cell>
        </row>
        <row r="351">
          <cell r="A351" t="str">
            <v>L072</v>
          </cell>
          <cell r="B351" t="str">
            <v>MBO + LI</v>
          </cell>
          <cell r="C351" t="str">
            <v>PEOMMIM01MBOEQIZ01</v>
          </cell>
          <cell r="D351" t="str">
            <v>VENTANILLA, SANTA ROSA Y MALACAS</v>
          </cell>
          <cell r="E351" t="str">
            <v>MBO SEMESTRAL EQUIPOS DE IZAJE</v>
          </cell>
          <cell r="F351" t="str">
            <v>INSPECCIÓN, LUBRICACIÓN BÁSICA Y LIMPIEZA DE ELEMENTOS Y ESTRUCTURAS DE IZAJE</v>
          </cell>
          <cell r="G351" t="str">
            <v>MMPI0200</v>
          </cell>
          <cell r="H351" t="str">
            <v>NUM</v>
          </cell>
          <cell r="I351">
            <v>1</v>
          </cell>
          <cell r="J351">
            <v>4</v>
          </cell>
          <cell r="K351">
            <v>2</v>
          </cell>
          <cell r="L351">
            <v>8</v>
          </cell>
          <cell r="M351" t="str">
            <v>NO</v>
          </cell>
          <cell r="N351">
            <v>2</v>
          </cell>
          <cell r="O351">
            <v>2</v>
          </cell>
          <cell r="P351">
            <v>2</v>
          </cell>
          <cell r="Q351">
            <v>6</v>
          </cell>
          <cell r="R351">
            <v>6</v>
          </cell>
          <cell r="S351">
            <v>6</v>
          </cell>
          <cell r="T351">
            <v>342.5406353226598</v>
          </cell>
          <cell r="U351">
            <v>342.5406353226598</v>
          </cell>
          <cell r="V351">
            <v>342.5406353226598</v>
          </cell>
          <cell r="W351">
            <v>2055.2438119359585</v>
          </cell>
          <cell r="X351">
            <v>2055.2438119359585</v>
          </cell>
          <cell r="Y351">
            <v>4110.4876238719171</v>
          </cell>
          <cell r="Z351">
            <v>2055.2438119359585</v>
          </cell>
          <cell r="AA351">
            <v>342.5406353226598</v>
          </cell>
          <cell r="AB351">
            <v>19.171538486527368</v>
          </cell>
          <cell r="AC351">
            <v>8</v>
          </cell>
          <cell r="AD351">
            <v>55.902481711520053</v>
          </cell>
          <cell r="AE351">
            <v>89.939601838137079</v>
          </cell>
          <cell r="AF351">
            <v>17.952863486512566</v>
          </cell>
          <cell r="AG351">
            <v>25.373380394271095</v>
          </cell>
          <cell r="AH351" t="e">
            <v>#N/A</v>
          </cell>
          <cell r="AI351">
            <v>342.5406353226598</v>
          </cell>
          <cell r="AJ351">
            <v>8</v>
          </cell>
          <cell r="AK351">
            <v>42.817579415332474</v>
          </cell>
        </row>
        <row r="352">
          <cell r="A352" t="str">
            <v>P062</v>
          </cell>
          <cell r="B352" t="str">
            <v>PREV</v>
          </cell>
          <cell r="C352" t="str">
            <v>PEOMMIM0100MMGRU10</v>
          </cell>
          <cell r="D352"/>
          <cell r="E352" t="str">
            <v>MANTENIMIENTO GRUAS</v>
          </cell>
          <cell r="F352" t="str">
            <v>INSPECCION Y CERTIFICACION DE PUENTE GRUAS</v>
          </cell>
          <cell r="G352" t="str">
            <v>MMIM0100</v>
          </cell>
          <cell r="H352" t="str">
            <v>NUM</v>
          </cell>
          <cell r="I352">
            <v>1</v>
          </cell>
          <cell r="J352">
            <v>6</v>
          </cell>
          <cell r="K352">
            <v>3</v>
          </cell>
          <cell r="L352">
            <v>18</v>
          </cell>
          <cell r="M352" t="str">
            <v>SI</v>
          </cell>
          <cell r="N352">
            <v>0</v>
          </cell>
          <cell r="O352">
            <v>0</v>
          </cell>
          <cell r="P352">
            <v>0</v>
          </cell>
          <cell r="Q352">
            <v>0</v>
          </cell>
          <cell r="R352">
            <v>0</v>
          </cell>
          <cell r="S352">
            <v>0</v>
          </cell>
          <cell r="T352"/>
          <cell r="U352"/>
          <cell r="V352">
            <v>849.11383794091034</v>
          </cell>
          <cell r="W352">
            <v>0</v>
          </cell>
          <cell r="X352">
            <v>0</v>
          </cell>
          <cell r="Y352">
            <v>0</v>
          </cell>
          <cell r="Z352">
            <v>0</v>
          </cell>
          <cell r="AA352">
            <v>823.58537618491778</v>
          </cell>
          <cell r="AB352">
            <v>21.533127692412709</v>
          </cell>
          <cell r="AC352">
            <v>18</v>
          </cell>
          <cell r="AD352">
            <v>127.18855711564282</v>
          </cell>
          <cell r="AE352">
            <v>204.62934444269459</v>
          </cell>
          <cell r="AF352">
            <v>43.16485200130596</v>
          </cell>
          <cell r="AG352">
            <v>61.006324161845761</v>
          </cell>
          <cell r="AH352" t="str">
            <v>Mecánica</v>
          </cell>
          <cell r="AI352">
            <v>823.58537618491778</v>
          </cell>
          <cell r="AJ352">
            <v>18</v>
          </cell>
          <cell r="AK352">
            <v>45.754743121384323</v>
          </cell>
        </row>
        <row r="353">
          <cell r="A353" t="str">
            <v>L070</v>
          </cell>
          <cell r="B353" t="str">
            <v>MBO + LI</v>
          </cell>
          <cell r="C353" t="str">
            <v>PEOMMIM01MBOCTCS01</v>
          </cell>
          <cell r="D353" t="str">
            <v>VENTANILLA, SANTA ROSA Y MALACAS</v>
          </cell>
          <cell r="E353" t="str">
            <v>MBO MENSUAL EQUIPOS MECANICOS</v>
          </cell>
          <cell r="F353" t="str">
            <v>INSPECCIÓN VISUAL Y ENTREGA DE REPORTES: FUGAS Y CORROSIÓN EN TUBERÍAS</v>
          </cell>
          <cell r="G353" t="str">
            <v>MMPI0200</v>
          </cell>
          <cell r="H353" t="str">
            <v>NUM</v>
          </cell>
          <cell r="I353">
            <v>1</v>
          </cell>
          <cell r="J353">
            <v>9</v>
          </cell>
          <cell r="K353">
            <v>2</v>
          </cell>
          <cell r="L353">
            <v>18</v>
          </cell>
          <cell r="M353" t="str">
            <v>NO</v>
          </cell>
          <cell r="N353">
            <v>12</v>
          </cell>
          <cell r="O353">
            <v>12</v>
          </cell>
          <cell r="P353">
            <v>12</v>
          </cell>
          <cell r="Q353">
            <v>36</v>
          </cell>
          <cell r="R353">
            <v>36</v>
          </cell>
          <cell r="S353">
            <v>36</v>
          </cell>
          <cell r="T353">
            <v>770.71642947598434</v>
          </cell>
          <cell r="U353">
            <v>770.71642947598434</v>
          </cell>
          <cell r="V353">
            <v>770.71642947598434</v>
          </cell>
          <cell r="W353">
            <v>27745.791461135435</v>
          </cell>
          <cell r="X353">
            <v>27745.791461135435</v>
          </cell>
          <cell r="Y353">
            <v>55491.582922270871</v>
          </cell>
          <cell r="Z353">
            <v>27745.791461135435</v>
          </cell>
          <cell r="AA353">
            <v>770.71642947598434</v>
          </cell>
          <cell r="AB353">
            <v>19.171538486527368</v>
          </cell>
          <cell r="AC353">
            <v>18</v>
          </cell>
          <cell r="AD353">
            <v>125.78058385092011</v>
          </cell>
          <cell r="AE353">
            <v>202.36410413580842</v>
          </cell>
          <cell r="AF353">
            <v>40.393942844653267</v>
          </cell>
          <cell r="AG353">
            <v>57.090105887109949</v>
          </cell>
          <cell r="AH353" t="e">
            <v>#N/A</v>
          </cell>
          <cell r="AI353">
            <v>770.71642947598434</v>
          </cell>
          <cell r="AJ353">
            <v>18</v>
          </cell>
          <cell r="AK353">
            <v>42.81757941533246</v>
          </cell>
        </row>
        <row r="354">
          <cell r="A354" t="str">
            <v>L071</v>
          </cell>
          <cell r="B354" t="str">
            <v>MBO + LI</v>
          </cell>
          <cell r="C354" t="str">
            <v>PEOMMIM01MBOEQMC01</v>
          </cell>
          <cell r="D354" t="str">
            <v>VENTANILLA, SANTA ROSA Y MALACAS</v>
          </cell>
          <cell r="E354" t="str">
            <v>MBO TRIMESTRAL  EQUIPOS MECANICOS</v>
          </cell>
          <cell r="F354" t="str">
            <v>INSPECCIÓN VISUAL Y ENTREGA DE REPORTES: FUGAS Y CORROSIÓN EN RECIPIENTES A PRESIÓN Y VÁLVULAS DE SEGURIDAD</v>
          </cell>
          <cell r="G354" t="str">
            <v>MMPI0200</v>
          </cell>
          <cell r="H354" t="str">
            <v>NUM</v>
          </cell>
          <cell r="I354">
            <v>1</v>
          </cell>
          <cell r="J354">
            <v>9</v>
          </cell>
          <cell r="K354">
            <v>2</v>
          </cell>
          <cell r="L354">
            <v>18</v>
          </cell>
          <cell r="M354" t="str">
            <v>NO</v>
          </cell>
          <cell r="N354">
            <v>4</v>
          </cell>
          <cell r="O354">
            <v>4</v>
          </cell>
          <cell r="P354">
            <v>4</v>
          </cell>
          <cell r="Q354">
            <v>12</v>
          </cell>
          <cell r="R354">
            <v>12</v>
          </cell>
          <cell r="S354">
            <v>12</v>
          </cell>
          <cell r="T354">
            <v>770.71642947598434</v>
          </cell>
          <cell r="U354">
            <v>770.71642947598434</v>
          </cell>
          <cell r="V354">
            <v>770.71642947598434</v>
          </cell>
          <cell r="W354">
            <v>9248.597153711813</v>
          </cell>
          <cell r="X354">
            <v>9248.597153711813</v>
          </cell>
          <cell r="Y354">
            <v>18497.194307423626</v>
          </cell>
          <cell r="Z354">
            <v>9248.597153711813</v>
          </cell>
          <cell r="AA354">
            <v>770.71642947598434</v>
          </cell>
          <cell r="AB354">
            <v>19.171538486527368</v>
          </cell>
          <cell r="AC354">
            <v>18</v>
          </cell>
          <cell r="AD354">
            <v>125.78058385092011</v>
          </cell>
          <cell r="AE354">
            <v>202.36410413580842</v>
          </cell>
          <cell r="AF354">
            <v>40.393942844653267</v>
          </cell>
          <cell r="AG354">
            <v>57.090105887109949</v>
          </cell>
          <cell r="AH354" t="e">
            <v>#N/A</v>
          </cell>
          <cell r="AI354">
            <v>770.71642947598434</v>
          </cell>
          <cell r="AJ354">
            <v>18</v>
          </cell>
          <cell r="AK354">
            <v>42.81757941533246</v>
          </cell>
        </row>
        <row r="355">
          <cell r="A355" t="str">
            <v>C135</v>
          </cell>
          <cell r="B355" t="str">
            <v>COND</v>
          </cell>
          <cell r="C355" t="str">
            <v>WWOLEII09081000100</v>
          </cell>
          <cell r="D355" t="str">
            <v>VENTANILLA, SANTA ROSA Y MALACAS</v>
          </cell>
          <cell r="E355" t="str">
            <v>INSPECCIÓN PERIODICA CONEX DE TIERRA</v>
          </cell>
          <cell r="F355" t="str">
            <v>INSPECCIÓN VISUAL DE LAS CONEXIONES DE TIERRA Y MEDICIÓN DE LA RESISTENCIA DE CONEXIÓN. PRECIO POR CADA CONEXIÓN.</v>
          </cell>
          <cell r="G355" t="str">
            <v>LEII0900</v>
          </cell>
          <cell r="H355" t="str">
            <v>NUM</v>
          </cell>
          <cell r="I355">
            <v>1</v>
          </cell>
          <cell r="J355">
            <v>0.5</v>
          </cell>
          <cell r="K355">
            <v>2</v>
          </cell>
          <cell r="L355">
            <v>1</v>
          </cell>
          <cell r="M355" t="str">
            <v>NO</v>
          </cell>
          <cell r="N355">
            <v>4</v>
          </cell>
          <cell r="O355">
            <v>3</v>
          </cell>
          <cell r="P355">
            <v>3</v>
          </cell>
          <cell r="Q355">
            <v>12</v>
          </cell>
          <cell r="R355">
            <v>9</v>
          </cell>
          <cell r="S355">
            <v>9</v>
          </cell>
          <cell r="T355">
            <v>38.931666906054794</v>
          </cell>
          <cell r="U355">
            <v>38.931666906054794</v>
          </cell>
          <cell r="V355">
            <v>38.931666906054794</v>
          </cell>
          <cell r="W355">
            <v>467.1800028726575</v>
          </cell>
          <cell r="X355">
            <v>350.38500215449312</v>
          </cell>
          <cell r="Y355">
            <v>817.56500502715062</v>
          </cell>
          <cell r="Z355">
            <v>350.38500215449312</v>
          </cell>
          <cell r="AA355">
            <v>38.931666906054794</v>
          </cell>
          <cell r="AB355">
            <v>23.057832511738386</v>
          </cell>
          <cell r="AC355">
            <v>1</v>
          </cell>
          <cell r="AD355">
            <v>4.1970585996640155</v>
          </cell>
          <cell r="AE355">
            <v>6.7525048582471339</v>
          </cell>
          <cell r="AF355">
            <v>2.0404437581789723</v>
          </cell>
          <cell r="AG355">
            <v>2.883827178226281</v>
          </cell>
          <cell r="AH355" t="str">
            <v>Electricidad</v>
          </cell>
          <cell r="AI355">
            <v>38.931666906054794</v>
          </cell>
          <cell r="AJ355">
            <v>1</v>
          </cell>
          <cell r="AK355">
            <v>38.931666906054794</v>
          </cell>
        </row>
        <row r="356">
          <cell r="A356" t="str">
            <v>P087</v>
          </cell>
          <cell r="B356" t="str">
            <v>PREV</v>
          </cell>
          <cell r="C356" t="str">
            <v>WWOMMIM01060700100</v>
          </cell>
          <cell r="D356" t="str">
            <v>VENTANILLA, SANTA ROSA Y MALACAS</v>
          </cell>
          <cell r="E356" t="str">
            <v>INSPECCIÓN ROTURAS EGD/EGH/EXHAUST</v>
          </cell>
          <cell r="F356" t="str">
            <v>INSPECCIÓN VISUAL COMPLETA Y ANÁLISIS DE ESTADO DE LAS CHAPAS Y ELEMENTOS QUE CONFORMAN EL CONDUCTO DE GASES DE SALIDA DE TURBINA DE GAS. EN ESTA INSPECCIÓN SE INCLUYE EL ANÁLISIS DE LOS DEFECTOS IDENTIFICADOS Y PLANIFICACIÓN DE TRABAJOS DE REPARACIÓN ASÍ COMO LOS NDTS NECESARIOS.</v>
          </cell>
          <cell r="G356" t="str">
            <v>MMIM0106</v>
          </cell>
          <cell r="H356" t="str">
            <v>NUM</v>
          </cell>
          <cell r="I356">
            <v>1</v>
          </cell>
          <cell r="J356">
            <v>0.5</v>
          </cell>
          <cell r="K356">
            <v>2</v>
          </cell>
          <cell r="L356">
            <v>1</v>
          </cell>
          <cell r="M356" t="str">
            <v>SI</v>
          </cell>
          <cell r="N356">
            <v>4</v>
          </cell>
          <cell r="O356">
            <v>6</v>
          </cell>
          <cell r="P356">
            <v>6</v>
          </cell>
          <cell r="Q356">
            <v>12</v>
          </cell>
          <cell r="R356">
            <v>18</v>
          </cell>
          <cell r="S356">
            <v>18</v>
          </cell>
          <cell r="T356">
            <v>49.400731094530286</v>
          </cell>
          <cell r="U356">
            <v>49.400731094530286</v>
          </cell>
          <cell r="V356">
            <v>49.400731094530286</v>
          </cell>
          <cell r="W356">
            <v>592.80877313436349</v>
          </cell>
          <cell r="X356">
            <v>889.21315970154512</v>
          </cell>
          <cell r="Y356">
            <v>1482.0219328359085</v>
          </cell>
          <cell r="Z356">
            <v>889.21315970154512</v>
          </cell>
          <cell r="AA356">
            <v>49.400731094530286</v>
          </cell>
          <cell r="AB356">
            <v>19.171538486527368</v>
          </cell>
          <cell r="AC356">
            <v>1</v>
          </cell>
          <cell r="AD356">
            <v>8.5277257634432129</v>
          </cell>
          <cell r="AE356">
            <v>15.453016580331909</v>
          </cell>
          <cell r="AF356">
            <v>2.5891368498181491</v>
          </cell>
          <cell r="AG356">
            <v>3.6593134144096506</v>
          </cell>
          <cell r="AH356" t="str">
            <v>Mecánica</v>
          </cell>
          <cell r="AI356">
            <v>49.400731094530286</v>
          </cell>
          <cell r="AJ356">
            <v>1</v>
          </cell>
          <cell r="AK356">
            <v>49.400731094530286</v>
          </cell>
        </row>
        <row r="357">
          <cell r="A357" t="str">
            <v>C272</v>
          </cell>
          <cell r="B357" t="str">
            <v>COND</v>
          </cell>
          <cell r="C357" t="str">
            <v>WWOMMIM01060700100</v>
          </cell>
          <cell r="D357" t="str">
            <v>VENTANILLA, SANTA ROSA Y MALACAS</v>
          </cell>
          <cell r="E357" t="str">
            <v>INSPECCIÓN ROTURAS EGD/EGH/EXHAUST</v>
          </cell>
          <cell r="F357" t="str">
            <v>INSPECCIÓN VISUAL COMPLETA Y ANÁLISIS DE ESTADO DE LAS CHAPAS Y ELEMENTOS QUE CONFORMAN EL CONDUCTO DE GASES DE SALIDA DE TURBINA DE GAS. EN ESTA INSPECCIÓN SE INCLUYE EL ANÁLISIS DE LOS DEFECTOS IDENTIFICADOS Y PLANIFICACIÓN DE TRABAJOS DE REPARACIÓN ASÍ COMO LOS NDTS NECESARIOS.</v>
          </cell>
          <cell r="G357" t="str">
            <v>MMIM0100</v>
          </cell>
          <cell r="H357" t="str">
            <v>NUM</v>
          </cell>
          <cell r="I357">
            <v>1</v>
          </cell>
          <cell r="J357">
            <v>0.5</v>
          </cell>
          <cell r="K357">
            <v>2</v>
          </cell>
          <cell r="L357">
            <v>1</v>
          </cell>
          <cell r="M357" t="str">
            <v>SI</v>
          </cell>
          <cell r="N357">
            <v>1</v>
          </cell>
          <cell r="O357">
            <v>1</v>
          </cell>
          <cell r="P357">
            <v>1</v>
          </cell>
          <cell r="Q357">
            <v>3</v>
          </cell>
          <cell r="R357">
            <v>3</v>
          </cell>
          <cell r="S357">
            <v>3</v>
          </cell>
          <cell r="T357">
            <v>42.817008821628121</v>
          </cell>
          <cell r="U357">
            <v>42.817008821628121</v>
          </cell>
          <cell r="V357">
            <v>42.817008821628121</v>
          </cell>
          <cell r="W357">
            <v>128.45102646488436</v>
          </cell>
          <cell r="X357">
            <v>128.45102646488436</v>
          </cell>
          <cell r="Y357">
            <v>256.90205292976873</v>
          </cell>
          <cell r="Z357">
            <v>128.45102646488436</v>
          </cell>
          <cell r="AA357">
            <v>42.817008821628121</v>
          </cell>
          <cell r="AB357">
            <v>19.171538486527368</v>
          </cell>
          <cell r="AC357">
            <v>1</v>
          </cell>
          <cell r="AD357">
            <v>6.987619164581913</v>
          </cell>
          <cell r="AE357">
            <v>11.242142856951613</v>
          </cell>
          <cell r="AF357">
            <v>2.2440780304836538</v>
          </cell>
          <cell r="AG357">
            <v>3.1716302830835645</v>
          </cell>
          <cell r="AH357" t="str">
            <v>Mecánica</v>
          </cell>
          <cell r="AI357">
            <v>42.817008821628121</v>
          </cell>
          <cell r="AJ357">
            <v>1</v>
          </cell>
          <cell r="AK357">
            <v>42.817008821628121</v>
          </cell>
        </row>
        <row r="358">
          <cell r="A358" t="str">
            <v>C296</v>
          </cell>
          <cell r="B358" t="str">
            <v>COND</v>
          </cell>
          <cell r="C358" t="str">
            <v>WWOMMIM01061200200</v>
          </cell>
          <cell r="D358" t="str">
            <v>VENTANILLA, SANTA ROSA Y MALACAS</v>
          </cell>
          <cell r="E358" t="str">
            <v>INSPEC VISUAL GENERAL CONDEN(LADO VAPOR)</v>
          </cell>
          <cell r="F358" t="str">
            <v>INSPECCIÓN VISUAL BOQUILLAS ATEMPERACIÓN ESCAPE TURBINA, LIMPIEZA. COMPROBAR Y LIMPIAR FOSO CONDENSADOR Y MALLA FILTRANTE .INSPECCIÓN VISUAL ENVOLVENTE HAZ TUBULAR Y PLACAS SOPORTE LIMPIAR PICAJES Y VÁLVULAS DE RAÍZ DE TOMAS DE MUESTRA</v>
          </cell>
          <cell r="G358" t="str">
            <v>MMIM0100</v>
          </cell>
          <cell r="H358" t="str">
            <v>NUM</v>
          </cell>
          <cell r="I358">
            <v>1</v>
          </cell>
          <cell r="J358">
            <v>12</v>
          </cell>
          <cell r="K358">
            <v>3</v>
          </cell>
          <cell r="L358">
            <v>36</v>
          </cell>
          <cell r="M358" t="str">
            <v>SI</v>
          </cell>
          <cell r="N358">
            <v>4</v>
          </cell>
          <cell r="O358">
            <v>3</v>
          </cell>
          <cell r="P358">
            <v>3</v>
          </cell>
          <cell r="Q358">
            <v>12</v>
          </cell>
          <cell r="R358">
            <v>9</v>
          </cell>
          <cell r="S358">
            <v>9</v>
          </cell>
          <cell r="T358">
            <v>1647.1707523698365</v>
          </cell>
          <cell r="U358">
            <v>1647.1707523698365</v>
          </cell>
          <cell r="V358">
            <v>1647.1707523698365</v>
          </cell>
          <cell r="W358">
            <v>19766.049028438036</v>
          </cell>
          <cell r="X358">
            <v>14824.536771328529</v>
          </cell>
          <cell r="Y358">
            <v>34590.585799766566</v>
          </cell>
          <cell r="Z358">
            <v>14824.536771328529</v>
          </cell>
          <cell r="AA358">
            <v>1647.1707523698365</v>
          </cell>
          <cell r="AB358">
            <v>21.533127692412709</v>
          </cell>
          <cell r="AC358">
            <v>36</v>
          </cell>
          <cell r="AD358">
            <v>254.37711423128582</v>
          </cell>
          <cell r="AE358">
            <v>409.25868888538946</v>
          </cell>
          <cell r="AF358">
            <v>86.329704002611962</v>
          </cell>
          <cell r="AG358">
            <v>122.01264832369159</v>
          </cell>
          <cell r="AH358" t="str">
            <v>Mecánica</v>
          </cell>
          <cell r="AI358">
            <v>1647.1707523698365</v>
          </cell>
          <cell r="AJ358">
            <v>36</v>
          </cell>
          <cell r="AK358">
            <v>45.754743121384344</v>
          </cell>
        </row>
        <row r="359">
          <cell r="A359" t="str">
            <v>C355</v>
          </cell>
          <cell r="B359" t="str">
            <v>COND</v>
          </cell>
          <cell r="C359" t="str">
            <v>PEOLEII09MEINSP001</v>
          </cell>
          <cell r="D359" t="str">
            <v>VENTANILLA, SANTA ROSA Y MALACAS</v>
          </cell>
          <cell r="E359" t="str">
            <v>INSPECCION DE TRANSFORMADORES DE POTENCIA</v>
          </cell>
          <cell r="F359" t="str">
            <v>INSPECCION DE FUGAS DE ACEITE DE TRANSFORMADORES</v>
          </cell>
          <cell r="G359" t="str">
            <v>LEII0900</v>
          </cell>
          <cell r="H359" t="str">
            <v>NUM</v>
          </cell>
          <cell r="I359">
            <v>1</v>
          </cell>
          <cell r="J359">
            <v>3</v>
          </cell>
          <cell r="K359">
            <v>2</v>
          </cell>
          <cell r="L359">
            <v>6</v>
          </cell>
          <cell r="M359" t="str">
            <v>SI</v>
          </cell>
          <cell r="N359">
            <v>6</v>
          </cell>
          <cell r="O359">
            <v>5</v>
          </cell>
          <cell r="P359">
            <v>3</v>
          </cell>
          <cell r="Q359">
            <v>18</v>
          </cell>
          <cell r="R359">
            <v>15</v>
          </cell>
          <cell r="S359">
            <v>9</v>
          </cell>
          <cell r="T359">
            <v>252.45923709207403</v>
          </cell>
          <cell r="U359">
            <v>252.45923709207403</v>
          </cell>
          <cell r="V359">
            <v>252.45923709207403</v>
          </cell>
          <cell r="W359">
            <v>4544.2662676573327</v>
          </cell>
          <cell r="X359">
            <v>3786.8885563811104</v>
          </cell>
          <cell r="Y359">
            <v>8331.1548240384436</v>
          </cell>
          <cell r="Z359">
            <v>2272.1331338286664</v>
          </cell>
          <cell r="AA359">
            <v>252.45923709207403</v>
          </cell>
          <cell r="AB359">
            <v>17.555395653041831</v>
          </cell>
          <cell r="AC359">
            <v>6</v>
          </cell>
          <cell r="AD359">
            <v>40.964021315378154</v>
          </cell>
          <cell r="AE359">
            <v>74.230541429608152</v>
          </cell>
          <cell r="AF359">
            <v>13.231616199794237</v>
          </cell>
          <cell r="AG359">
            <v>18.700684229042523</v>
          </cell>
          <cell r="AH359" t="e">
            <v>#N/A</v>
          </cell>
          <cell r="AI359">
            <v>252.45923709207403</v>
          </cell>
          <cell r="AJ359">
            <v>6</v>
          </cell>
          <cell r="AK359">
            <v>42.076539515345672</v>
          </cell>
        </row>
        <row r="360">
          <cell r="A360" t="str">
            <v>C101</v>
          </cell>
          <cell r="B360" t="str">
            <v>COND</v>
          </cell>
          <cell r="C360" t="str">
            <v>WWOLEII09080704700</v>
          </cell>
          <cell r="D360" t="str">
            <v>VENTANILLA, SANTA ROSA Y MALACAS</v>
          </cell>
          <cell r="E360" t="str">
            <v>FABRICACIÓN TERMINAL PREMOLDEADO MT 3P</v>
          </cell>
          <cell r="F360" t="str">
            <v>INCLUYE: EL CORTE, PREPARACIÓN DEL CABLE TRIPOLAR, INSTALACIÓN DEL TERMINAL PREMOLDEADO DE ACUERDO AL FABRICANTE, PRUEBAS DE AISLAMIENTO ELECTRICO FINALES. NOTA: TERMINAL PREMOLDEADO SUMISTRADO POR LA PROPIEDAD.</v>
          </cell>
          <cell r="G360" t="str">
            <v>LEII0900</v>
          </cell>
          <cell r="H360" t="str">
            <v>NUM</v>
          </cell>
          <cell r="I360">
            <v>1</v>
          </cell>
          <cell r="J360">
            <v>6</v>
          </cell>
          <cell r="K360">
            <v>2</v>
          </cell>
          <cell r="L360">
            <v>12</v>
          </cell>
          <cell r="M360" t="str">
            <v>NO</v>
          </cell>
          <cell r="N360">
            <v>4</v>
          </cell>
          <cell r="O360">
            <v>3</v>
          </cell>
          <cell r="P360">
            <v>3</v>
          </cell>
          <cell r="Q360">
            <v>12</v>
          </cell>
          <cell r="R360">
            <v>9</v>
          </cell>
          <cell r="S360">
            <v>9</v>
          </cell>
          <cell r="T360">
            <v>577.34602295582795</v>
          </cell>
          <cell r="U360">
            <v>577.34602295582795</v>
          </cell>
          <cell r="V360">
            <v>577.34602295582795</v>
          </cell>
          <cell r="W360">
            <v>6928.1522754699354</v>
          </cell>
          <cell r="X360">
            <v>5196.1142066024513</v>
          </cell>
          <cell r="Y360">
            <v>12124.266482072388</v>
          </cell>
          <cell r="Z360">
            <v>5196.1142066024513</v>
          </cell>
          <cell r="AA360">
            <v>577.34602295582795</v>
          </cell>
          <cell r="AB360">
            <v>23.057832511738386</v>
          </cell>
          <cell r="AC360">
            <v>12</v>
          </cell>
          <cell r="AD360">
            <v>87.251102852932547</v>
          </cell>
          <cell r="AE360">
            <v>140.37533236943878</v>
          </cell>
          <cell r="AF360">
            <v>30.259225521793915</v>
          </cell>
          <cell r="AG360">
            <v>42.76637207080207</v>
          </cell>
          <cell r="AH360" t="str">
            <v>Electricidad</v>
          </cell>
          <cell r="AI360">
            <v>577.34602295582795</v>
          </cell>
          <cell r="AJ360">
            <v>12</v>
          </cell>
          <cell r="AK360">
            <v>48.112168579652327</v>
          </cell>
        </row>
        <row r="361">
          <cell r="A361" t="str">
            <v>C100</v>
          </cell>
          <cell r="B361" t="str">
            <v>COND</v>
          </cell>
          <cell r="C361" t="str">
            <v>WWOLEII09080704600</v>
          </cell>
          <cell r="D361" t="str">
            <v>VENTANILLA, SANTA ROSA Y MALACAS</v>
          </cell>
          <cell r="E361" t="str">
            <v>FABRICACIÓN TERMINAL PREMOLDEADO MT 1P</v>
          </cell>
          <cell r="F361" t="str">
            <v>INCLUYE: EL CORTE, PREPARACIÓN DEL CABLE MONOPOLAR, INSTALACIÓN DEL TERMINAL PREMOLDEADO DE ACUERDO AL FABRICANTE, PRUEBAS DE AISLAMIENTO ELECTRICO FINALES. NOTA: TERMINAL PREMOLDEADO SUMISTRADO POR LA PROPIEDAD.</v>
          </cell>
          <cell r="G361" t="str">
            <v>LEII0900</v>
          </cell>
          <cell r="H361" t="str">
            <v>NUM</v>
          </cell>
          <cell r="I361">
            <v>1</v>
          </cell>
          <cell r="J361">
            <v>2</v>
          </cell>
          <cell r="K361">
            <v>2</v>
          </cell>
          <cell r="L361">
            <v>4</v>
          </cell>
          <cell r="M361" t="str">
            <v>NO</v>
          </cell>
          <cell r="N361">
            <v>4</v>
          </cell>
          <cell r="O361">
            <v>3</v>
          </cell>
          <cell r="P361">
            <v>3</v>
          </cell>
          <cell r="Q361">
            <v>12</v>
          </cell>
          <cell r="R361">
            <v>9</v>
          </cell>
          <cell r="S361">
            <v>9</v>
          </cell>
          <cell r="T361">
            <v>192.44867431860953</v>
          </cell>
          <cell r="U361">
            <v>192.44867431860953</v>
          </cell>
          <cell r="V361">
            <v>192.44867431860953</v>
          </cell>
          <cell r="W361">
            <v>2309.3840918233145</v>
          </cell>
          <cell r="X361">
            <v>1732.0380688674859</v>
          </cell>
          <cell r="Y361">
            <v>4041.4221606908004</v>
          </cell>
          <cell r="Z361">
            <v>1732.0380688674859</v>
          </cell>
          <cell r="AA361">
            <v>192.44867431860953</v>
          </cell>
          <cell r="AB361">
            <v>23.057832511738386</v>
          </cell>
          <cell r="AC361">
            <v>4</v>
          </cell>
          <cell r="AD361">
            <v>29.083700950977594</v>
          </cell>
          <cell r="AE361">
            <v>46.791777456479714</v>
          </cell>
          <cell r="AF361">
            <v>10.08640850726465</v>
          </cell>
          <cell r="AG361">
            <v>14.255457356934039</v>
          </cell>
          <cell r="AH361" t="str">
            <v>Electricidad</v>
          </cell>
          <cell r="AI361">
            <v>192.44867431860953</v>
          </cell>
          <cell r="AJ361">
            <v>4</v>
          </cell>
          <cell r="AK361">
            <v>48.112168579652383</v>
          </cell>
        </row>
        <row r="362">
          <cell r="A362" t="str">
            <v>C098</v>
          </cell>
          <cell r="B362" t="str">
            <v>COND</v>
          </cell>
          <cell r="C362" t="str">
            <v>WWOLEII09080704400</v>
          </cell>
          <cell r="D362" t="str">
            <v>VENTANILLA, SANTA ROSA Y MALACAS</v>
          </cell>
          <cell r="E362" t="str">
            <v>FABRICACIÓN EMPALME PREMOLDEADO DE MT 1P</v>
          </cell>
          <cell r="F362" t="str">
            <v>INCLUYE: EL CORTE, PREPARACIÓN DE LOS 2 PUNTAS DE CABLES, INSTALACIÓN DEL EMPALME PREMOLDEADO DE ACUERDO AL FABRICANTE, PRUEBAS DE AISLAMIENTO ELECTRICO FINALES. NOTA: EMPALME PREMOLDEADO SERÁ SUMISTRADO POR LA PROPIEDAD.</v>
          </cell>
          <cell r="G362" t="str">
            <v>LEII0900</v>
          </cell>
          <cell r="H362" t="str">
            <v>NUM</v>
          </cell>
          <cell r="I362">
            <v>1</v>
          </cell>
          <cell r="J362">
            <v>2</v>
          </cell>
          <cell r="K362">
            <v>2</v>
          </cell>
          <cell r="L362">
            <v>4</v>
          </cell>
          <cell r="M362" t="str">
            <v>NO</v>
          </cell>
          <cell r="N362">
            <v>4</v>
          </cell>
          <cell r="O362">
            <v>3</v>
          </cell>
          <cell r="P362">
            <v>3</v>
          </cell>
          <cell r="Q362">
            <v>12</v>
          </cell>
          <cell r="R362">
            <v>9</v>
          </cell>
          <cell r="S362">
            <v>9</v>
          </cell>
          <cell r="T362">
            <v>192.44867431860953</v>
          </cell>
          <cell r="U362">
            <v>192.44867431860953</v>
          </cell>
          <cell r="V362">
            <v>192.44867431860953</v>
          </cell>
          <cell r="W362">
            <v>2309.3840918233145</v>
          </cell>
          <cell r="X362">
            <v>1732.0380688674859</v>
          </cell>
          <cell r="Y362">
            <v>4041.4221606908004</v>
          </cell>
          <cell r="Z362">
            <v>1732.0380688674859</v>
          </cell>
          <cell r="AA362">
            <v>192.44867431860953</v>
          </cell>
          <cell r="AB362">
            <v>23.057832511738386</v>
          </cell>
          <cell r="AC362">
            <v>4</v>
          </cell>
          <cell r="AD362">
            <v>29.083700950977594</v>
          </cell>
          <cell r="AE362">
            <v>46.791777456479714</v>
          </cell>
          <cell r="AF362">
            <v>10.08640850726465</v>
          </cell>
          <cell r="AG362">
            <v>14.255457356934039</v>
          </cell>
          <cell r="AH362" t="str">
            <v>Electricidad</v>
          </cell>
          <cell r="AI362">
            <v>192.44867431860953</v>
          </cell>
          <cell r="AJ362">
            <v>4</v>
          </cell>
          <cell r="AK362">
            <v>48.112168579652383</v>
          </cell>
        </row>
        <row r="363">
          <cell r="A363" t="str">
            <v>C099</v>
          </cell>
          <cell r="B363" t="str">
            <v>COND</v>
          </cell>
          <cell r="C363" t="str">
            <v>WWOLEII09080704500</v>
          </cell>
          <cell r="D363" t="str">
            <v>VENTANILLA, SANTA ROSA Y MALACAS</v>
          </cell>
          <cell r="E363" t="str">
            <v>FABRICACIÓN EMPALME PREMOLDEADO DE MT 3P</v>
          </cell>
          <cell r="F363" t="str">
            <v>INCLUYE: EL CORTE, PREPARACIÓN DE LAS 6 PUNTAS DEL CABLE TRIPOLAR, INSTALACIÓN DEL EMPALEM PREMOLDEADO DE ACUERDO AL FABRICANTE, PRUEBAS DE AISLAMIENTO ELECTRICO FINALES. NOTA: EMPALME PREMOLDEADO SERÁ SUMISTRADO POR LA PROPIEDAD.</v>
          </cell>
          <cell r="G363" t="str">
            <v>LEII0900</v>
          </cell>
          <cell r="H363" t="str">
            <v>NUM</v>
          </cell>
          <cell r="I363">
            <v>1</v>
          </cell>
          <cell r="J363">
            <v>6</v>
          </cell>
          <cell r="K363">
            <v>2</v>
          </cell>
          <cell r="L363">
            <v>12</v>
          </cell>
          <cell r="M363" t="str">
            <v>NO</v>
          </cell>
          <cell r="N363">
            <v>4</v>
          </cell>
          <cell r="O363">
            <v>3</v>
          </cell>
          <cell r="P363">
            <v>3</v>
          </cell>
          <cell r="Q363">
            <v>12</v>
          </cell>
          <cell r="R363">
            <v>9</v>
          </cell>
          <cell r="S363">
            <v>9</v>
          </cell>
          <cell r="T363">
            <v>577.34602295582863</v>
          </cell>
          <cell r="U363">
            <v>577.34602295582863</v>
          </cell>
          <cell r="V363">
            <v>577.34602295582863</v>
          </cell>
          <cell r="W363">
            <v>6928.1522754699436</v>
          </cell>
          <cell r="X363">
            <v>5196.1142066024577</v>
          </cell>
          <cell r="Y363">
            <v>12124.266482072402</v>
          </cell>
          <cell r="Z363">
            <v>5196.1142066024577</v>
          </cell>
          <cell r="AA363">
            <v>577.34602295582863</v>
          </cell>
          <cell r="AB363">
            <v>23.057832511738386</v>
          </cell>
          <cell r="AC363">
            <v>12</v>
          </cell>
          <cell r="AD363">
            <v>87.25110285293276</v>
          </cell>
          <cell r="AE363">
            <v>140.37533236943909</v>
          </cell>
          <cell r="AF363">
            <v>30.259225521793951</v>
          </cell>
          <cell r="AG363">
            <v>42.76637207080212</v>
          </cell>
          <cell r="AH363" t="str">
            <v>Electricidad</v>
          </cell>
          <cell r="AI363">
            <v>577.34602295582863</v>
          </cell>
          <cell r="AJ363">
            <v>12</v>
          </cell>
          <cell r="AK363">
            <v>48.112168579652383</v>
          </cell>
        </row>
        <row r="364">
          <cell r="A364" t="str">
            <v>C206</v>
          </cell>
          <cell r="B364" t="str">
            <v>COND</v>
          </cell>
          <cell r="C364" t="str">
            <v>WWOMMIM01060203400</v>
          </cell>
          <cell r="D364" t="str">
            <v>VENTANILLA, SANTA ROSA Y MALACAS</v>
          </cell>
          <cell r="E364" t="str">
            <v xml:space="preserve">BOMBA SUMERGIBILE &lt;10KW: REVISIÓN </v>
          </cell>
          <cell r="F364" t="str">
            <v>INCLUYE: DESCONEXIÓN Y RETIRADA DE LA BOMBA, LIMPIEZA Y TRANSPORTE A TALLER. REVISIÓN DE TODOS LOS COMPONENTES INTERNOS, LIMPIEZA DE PIEZAS INTERNAS, ROTOR Y ESTATOR DEL MOTOR, SUSTITUCIÓN DE CONSUMIBLES, MEDICIÓNES MECÁNICAS Y SUSTITUCIÓN DE PIEZAS FUERA DE TOLERANCIA, INSTALACIÓN, REPOSICIÓN DE LA BOMBA, Y PRUEBAS FUNCIÓNALES.</v>
          </cell>
          <cell r="G364" t="str">
            <v>MMIM0100</v>
          </cell>
          <cell r="H364" t="str">
            <v>NUM</v>
          </cell>
          <cell r="I364">
            <v>1</v>
          </cell>
          <cell r="J364">
            <v>25</v>
          </cell>
          <cell r="K364">
            <v>3</v>
          </cell>
          <cell r="L364">
            <v>75</v>
          </cell>
          <cell r="M364" t="str">
            <v>SI</v>
          </cell>
          <cell r="N364">
            <v>4</v>
          </cell>
          <cell r="O364">
            <v>3</v>
          </cell>
          <cell r="P364">
            <v>3</v>
          </cell>
          <cell r="Q364">
            <v>12</v>
          </cell>
          <cell r="R364">
            <v>9</v>
          </cell>
          <cell r="S364">
            <v>9</v>
          </cell>
          <cell r="T364">
            <v>3431.6057341038281</v>
          </cell>
          <cell r="U364">
            <v>3431.6057341038281</v>
          </cell>
          <cell r="V364">
            <v>3431.6057341038281</v>
          </cell>
          <cell r="W364">
            <v>41179.268809245936</v>
          </cell>
          <cell r="X364">
            <v>30884.451606934454</v>
          </cell>
          <cell r="Y364">
            <v>72063.720416180382</v>
          </cell>
          <cell r="Z364">
            <v>30884.451606934454</v>
          </cell>
          <cell r="AA364">
            <v>3431.6057341038281</v>
          </cell>
          <cell r="AB364">
            <v>21.533127692412709</v>
          </cell>
          <cell r="AC364">
            <v>75</v>
          </cell>
          <cell r="AD364">
            <v>529.95232131517969</v>
          </cell>
          <cell r="AE364">
            <v>852.62226851122944</v>
          </cell>
          <cell r="AF364">
            <v>179.85355000544172</v>
          </cell>
          <cell r="AG364">
            <v>254.19301734102433</v>
          </cell>
          <cell r="AH364" t="str">
            <v>Mecánica</v>
          </cell>
          <cell r="AI364">
            <v>3431.6057341038281</v>
          </cell>
          <cell r="AJ364">
            <v>75</v>
          </cell>
          <cell r="AK364">
            <v>45.754743121384372</v>
          </cell>
        </row>
        <row r="365">
          <cell r="A365" t="str">
            <v>C207</v>
          </cell>
          <cell r="B365" t="str">
            <v>COND</v>
          </cell>
          <cell r="C365" t="str">
            <v>WWOMMIM01060203600</v>
          </cell>
          <cell r="D365" t="str">
            <v>VENTANILLA, SANTA ROSA Y MALACAS</v>
          </cell>
          <cell r="E365" t="str">
            <v>BOMBA SUMERGIBILE &gt; 30 KW: REVISIÓN</v>
          </cell>
          <cell r="F365" t="str">
            <v>INCLUYE: DESCONEXIÓN Y RETIRADA DE LA BOMBA, LIMPIEZA Y TRANSPORTE A TALLER. REVISIÓN DE TODOS LOS COMPONENTES INTERNOS, LIMPIEZA DE PIEZAS INTERNAS, ROTOR Y ESTATOR DEL MOTOR, SUSTITUCIÓN DE CONSUMIBLES, MEDICIÓNES MECÁNICAS Y SUSTITUCIÓN DE PIEZAS FUERA DE TOLERANCIA, INSTALACIÓN, REPOSICIÓN DE LA BOMBA, Y PRUEBAS FUNCIÓNALES.</v>
          </cell>
          <cell r="G365" t="str">
            <v>MMIM0100</v>
          </cell>
          <cell r="H365" t="str">
            <v>NUM</v>
          </cell>
          <cell r="I365">
            <v>1</v>
          </cell>
          <cell r="J365">
            <v>40</v>
          </cell>
          <cell r="K365">
            <v>4</v>
          </cell>
          <cell r="L365">
            <v>160</v>
          </cell>
          <cell r="M365" t="str">
            <v>SI</v>
          </cell>
          <cell r="N365">
            <v>4</v>
          </cell>
          <cell r="O365">
            <v>3</v>
          </cell>
          <cell r="P365">
            <v>3</v>
          </cell>
          <cell r="Q365">
            <v>12</v>
          </cell>
          <cell r="R365">
            <v>9</v>
          </cell>
          <cell r="S365">
            <v>9</v>
          </cell>
          <cell r="T365">
            <v>5927.7735889772675</v>
          </cell>
          <cell r="U365">
            <v>5927.7735889772675</v>
          </cell>
          <cell r="V365">
            <v>5927.7735889772675</v>
          </cell>
          <cell r="W365">
            <v>71133.283067727214</v>
          </cell>
          <cell r="X365">
            <v>53349.962300795407</v>
          </cell>
          <cell r="Y365">
            <v>124483.24536852262</v>
          </cell>
          <cell r="Z365">
            <v>53349.962300795407</v>
          </cell>
          <cell r="AA365">
            <v>5927.7735889772675</v>
          </cell>
          <cell r="AB365">
            <v>18.949817361081127</v>
          </cell>
          <cell r="AC365">
            <v>160</v>
          </cell>
          <cell r="AD365">
            <v>822.59055016518312</v>
          </cell>
          <cell r="AE365">
            <v>1323.4379636212934</v>
          </cell>
          <cell r="AF365">
            <v>310.67995749356743</v>
          </cell>
          <cell r="AG365">
            <v>439.09433992424204</v>
          </cell>
          <cell r="AH365" t="str">
            <v>Mecánica</v>
          </cell>
          <cell r="AI365">
            <v>5927.7735889772675</v>
          </cell>
          <cell r="AJ365">
            <v>160</v>
          </cell>
          <cell r="AK365">
            <v>37.048584931107925</v>
          </cell>
        </row>
        <row r="366">
          <cell r="A366" t="str">
            <v>C208</v>
          </cell>
          <cell r="B366" t="str">
            <v>COND</v>
          </cell>
          <cell r="C366" t="str">
            <v>WWOMMIM01060203500</v>
          </cell>
          <cell r="D366" t="str">
            <v>VENTANILLA, SANTA ROSA Y MALACAS</v>
          </cell>
          <cell r="E366" t="str">
            <v>BOMBA SUMERGIBILE&gt;10 Y &lt;30KW: REVISIÓN</v>
          </cell>
          <cell r="F366" t="str">
            <v>INCLUYE: DESCONEXIÓN Y RETIRADA DE LA BOMBA, LIMPIEZA Y TRANSPORTE A TALLER. REVISIÓN DE TODOS LOS COMPONENTES INTERNOS, LIMPIEZA DE PIEZAS INTERNAS, ROTOR Y ESTATOR DEL MOTOR, SUSTITUCIÓN DE CONSUMIBLES, MEDICIÓNES MECÁNICAS Y SUSTITUCIÓN DE PIEZAS FUERA DE TOLERANCIA, INSTALACIÓN, REPOSICIÓN DE LA BOMBA, Y PRUEBAS FUNCIÓNALES.</v>
          </cell>
          <cell r="G366" t="str">
            <v>MMIM0100</v>
          </cell>
          <cell r="H366" t="str">
            <v>NUM</v>
          </cell>
          <cell r="I366">
            <v>1</v>
          </cell>
          <cell r="J366">
            <v>30</v>
          </cell>
          <cell r="K366">
            <v>3</v>
          </cell>
          <cell r="L366">
            <v>90</v>
          </cell>
          <cell r="M366" t="str">
            <v>SI</v>
          </cell>
          <cell r="N366">
            <v>4</v>
          </cell>
          <cell r="O366">
            <v>3</v>
          </cell>
          <cell r="P366">
            <v>3</v>
          </cell>
          <cell r="Q366">
            <v>12</v>
          </cell>
          <cell r="R366">
            <v>9</v>
          </cell>
          <cell r="S366">
            <v>9</v>
          </cell>
          <cell r="T366">
            <v>4117.9268809245941</v>
          </cell>
          <cell r="U366">
            <v>4117.9268809245941</v>
          </cell>
          <cell r="V366">
            <v>4117.9268809245941</v>
          </cell>
          <cell r="W366">
            <v>49415.122571095126</v>
          </cell>
          <cell r="X366">
            <v>37061.341928321344</v>
          </cell>
          <cell r="Y366">
            <v>86476.46449941647</v>
          </cell>
          <cell r="Z366">
            <v>37061.341928321344</v>
          </cell>
          <cell r="AA366">
            <v>4117.9268809245941</v>
          </cell>
          <cell r="AB366">
            <v>21.533127692412709</v>
          </cell>
          <cell r="AC366">
            <v>90</v>
          </cell>
          <cell r="AD366">
            <v>635.94278557821553</v>
          </cell>
          <cell r="AE366">
            <v>1023.1467222134754</v>
          </cell>
          <cell r="AF366">
            <v>215.82426000653007</v>
          </cell>
          <cell r="AG366">
            <v>305.0316208092292</v>
          </cell>
          <cell r="AH366" t="str">
            <v>Mecánica</v>
          </cell>
          <cell r="AI366">
            <v>4117.9268809245941</v>
          </cell>
          <cell r="AJ366">
            <v>90</v>
          </cell>
          <cell r="AK366">
            <v>45.754743121384379</v>
          </cell>
        </row>
        <row r="367">
          <cell r="A367" t="str">
            <v>C212</v>
          </cell>
          <cell r="B367" t="str">
            <v>COND</v>
          </cell>
          <cell r="C367" t="str">
            <v>WWOMMIM01060203900</v>
          </cell>
          <cell r="D367" t="str">
            <v>VENTANILLA, SANTA ROSA Y MALACAS</v>
          </cell>
          <cell r="E367" t="str">
            <v>TRASLADO BOMBA SUMERGIBILE &gt; 30 KW</v>
          </cell>
          <cell r="F367" t="str">
            <v>INCLUYE: DESCONEXIÓN (HIDRAULICA Y ELECTRICA) Y RETIRADAD DE LA BOMBA, LIMPIEZA CON AGUA DULCE, RETIRO DE LOS ELEMENTOS SOLIDOS ADERIDOS, REAPRIETE O CORRECCIÓN DE MALLA FILTRANTE Y TRANSPORTE A NUEVO PUNTO DENTRO DE LA PLANTA DONDE SE REQUIERA, POSICIÓNAMIENTO Y CONEXIÓN (HIDRAULICA Y ELECTRICA)</v>
          </cell>
          <cell r="G367" t="str">
            <v>MMIM0100</v>
          </cell>
          <cell r="H367" t="str">
            <v>NUM</v>
          </cell>
          <cell r="I367">
            <v>1</v>
          </cell>
          <cell r="J367">
            <v>4</v>
          </cell>
          <cell r="K367">
            <v>3</v>
          </cell>
          <cell r="L367">
            <v>12</v>
          </cell>
          <cell r="M367" t="str">
            <v>SI</v>
          </cell>
          <cell r="N367">
            <v>4</v>
          </cell>
          <cell r="O367">
            <v>3</v>
          </cell>
          <cell r="P367">
            <v>3</v>
          </cell>
          <cell r="Q367">
            <v>12</v>
          </cell>
          <cell r="R367">
            <v>9</v>
          </cell>
          <cell r="S367">
            <v>9</v>
          </cell>
          <cell r="T367">
            <v>549.05691745661272</v>
          </cell>
          <cell r="U367">
            <v>549.05691745661272</v>
          </cell>
          <cell r="V367">
            <v>549.05691745661272</v>
          </cell>
          <cell r="W367">
            <v>6588.6830094793531</v>
          </cell>
          <cell r="X367">
            <v>4941.5122571095144</v>
          </cell>
          <cell r="Y367">
            <v>11530.195266588868</v>
          </cell>
          <cell r="Z367">
            <v>4941.5122571095144</v>
          </cell>
          <cell r="AA367">
            <v>549.05691745661272</v>
          </cell>
          <cell r="AB367">
            <v>21.533127692412709</v>
          </cell>
          <cell r="AC367">
            <v>12</v>
          </cell>
          <cell r="AD367">
            <v>84.792371410428814</v>
          </cell>
          <cell r="AE367">
            <v>136.41956296179683</v>
          </cell>
          <cell r="AF367">
            <v>28.776568000870689</v>
          </cell>
          <cell r="AG367">
            <v>40.670882774563907</v>
          </cell>
          <cell r="AH367" t="str">
            <v>Mecánica</v>
          </cell>
          <cell r="AI367">
            <v>549.05691745661272</v>
          </cell>
          <cell r="AJ367">
            <v>12</v>
          </cell>
          <cell r="AK367">
            <v>45.754743121384394</v>
          </cell>
        </row>
        <row r="368">
          <cell r="A368" t="str">
            <v>C213</v>
          </cell>
          <cell r="B368" t="str">
            <v>COND</v>
          </cell>
          <cell r="C368" t="str">
            <v>WWOMMIM01060203800</v>
          </cell>
          <cell r="D368" t="str">
            <v>VENTANILLA, SANTA ROSA Y MALACAS</v>
          </cell>
          <cell r="E368" t="str">
            <v>TRASLADO BOMBA SUMERGIBILE&gt;10 Y &lt;30KW</v>
          </cell>
          <cell r="F368" t="str">
            <v>INCLUYE: DESCONEXIÓN (HIDRAULICA Y ELECTRICA) Y RETIRADAD DE LA BOMBA, LIMPIEZA CON AGUA DULCE, RETIRO DE LOS ELEMENTOS SOLIDOS ADERIDOS, REAPRIETE O CORRECCIÓN DE MALLA FILTRANTE Y TRANSPORTE A NUEVO PUNTO DENTRO DE LA PLANTA DONDE SE REQUIERA, POSICIÓNAMIENTO Y CONEXIÓN (HIDRAULICA Y ELECTRICA)</v>
          </cell>
          <cell r="G368" t="str">
            <v>MMIM0100</v>
          </cell>
          <cell r="H368" t="str">
            <v>NUM</v>
          </cell>
          <cell r="I368">
            <v>1</v>
          </cell>
          <cell r="J368">
            <v>5</v>
          </cell>
          <cell r="K368">
            <v>4</v>
          </cell>
          <cell r="L368">
            <v>20</v>
          </cell>
          <cell r="M368" t="str">
            <v>SI</v>
          </cell>
          <cell r="N368">
            <v>4</v>
          </cell>
          <cell r="O368">
            <v>3</v>
          </cell>
          <cell r="P368">
            <v>3</v>
          </cell>
          <cell r="Q368">
            <v>12</v>
          </cell>
          <cell r="R368">
            <v>9</v>
          </cell>
          <cell r="S368">
            <v>9</v>
          </cell>
          <cell r="T368">
            <v>877.40270357070085</v>
          </cell>
          <cell r="U368">
            <v>877.40270357070085</v>
          </cell>
          <cell r="V368">
            <v>877.40270357070085</v>
          </cell>
          <cell r="W368">
            <v>10528.83244284841</v>
          </cell>
          <cell r="X368">
            <v>7896.6243321363072</v>
          </cell>
          <cell r="Y368">
            <v>18425.456774984719</v>
          </cell>
          <cell r="Z368">
            <v>7896.6243321363072</v>
          </cell>
          <cell r="AA368">
            <v>877.40270357070085</v>
          </cell>
          <cell r="AB368">
            <v>19.97398901669203</v>
          </cell>
          <cell r="AC368">
            <v>20</v>
          </cell>
          <cell r="AD368">
            <v>140.65293675426057</v>
          </cell>
          <cell r="AE368">
            <v>226.29172698134397</v>
          </cell>
          <cell r="AF368">
            <v>45.985466644166706</v>
          </cell>
          <cell r="AG368">
            <v>64.992792857088958</v>
          </cell>
          <cell r="AH368" t="str">
            <v>Mecánica</v>
          </cell>
          <cell r="AI368">
            <v>877.40270357070085</v>
          </cell>
          <cell r="AJ368">
            <v>20</v>
          </cell>
          <cell r="AK368">
            <v>43.870135178535044</v>
          </cell>
        </row>
        <row r="369">
          <cell r="A369" t="str">
            <v>C013</v>
          </cell>
          <cell r="B369" t="str">
            <v>COND</v>
          </cell>
          <cell r="C369" t="str">
            <v>WWOLEII09080200100</v>
          </cell>
          <cell r="D369" t="str">
            <v>VENTANILLA, SANTA ROSA Y MALACAS</v>
          </cell>
          <cell r="E369" t="str">
            <v>CORRECTIVO SIMPLE ACTUADOR ELECTRICO</v>
          </cell>
          <cell r="F369" t="str">
            <v>INCLUYE ACTIVIDADES SIMPLES DE REACONDICIÓNAMIENTO DEL ACTUADOR ELECTRICO. INCLUYE PRUEBAS FUNCIÓNALES, BUSQUEDA DE FALLO, SUSTITUCIÓN DE TARJETAS, COMPROBACIÓN Y MODIFICACIÓN DE AJUSTES, SUSTITUCIÓN DE ACEITE, SIN DESMONTAR EL ACTUADOR.</v>
          </cell>
          <cell r="G369" t="str">
            <v>LEII0900</v>
          </cell>
          <cell r="H369" t="str">
            <v>NUM</v>
          </cell>
          <cell r="I369">
            <v>1</v>
          </cell>
          <cell r="J369">
            <v>8</v>
          </cell>
          <cell r="K369">
            <v>2</v>
          </cell>
          <cell r="L369">
            <v>16</v>
          </cell>
          <cell r="M369" t="str">
            <v>NO</v>
          </cell>
          <cell r="N369">
            <v>4</v>
          </cell>
          <cell r="O369">
            <v>3</v>
          </cell>
          <cell r="P369">
            <v>3</v>
          </cell>
          <cell r="Q369">
            <v>12</v>
          </cell>
          <cell r="R369">
            <v>9</v>
          </cell>
          <cell r="S369">
            <v>9</v>
          </cell>
          <cell r="T369">
            <v>757.54615704703679</v>
          </cell>
          <cell r="U369">
            <v>757.54615704703679</v>
          </cell>
          <cell r="V369">
            <v>757.54615704703679</v>
          </cell>
          <cell r="W369">
            <v>9090.5538845644405</v>
          </cell>
          <cell r="X369">
            <v>6817.9154134233313</v>
          </cell>
          <cell r="Y369">
            <v>15908.469297987773</v>
          </cell>
          <cell r="Z369">
            <v>6817.9154134233313</v>
          </cell>
          <cell r="AA369">
            <v>757.54615704703679</v>
          </cell>
          <cell r="AB369">
            <v>23.466564118731693</v>
          </cell>
          <cell r="AC369">
            <v>16</v>
          </cell>
          <cell r="AD369">
            <v>109.72695592515976</v>
          </cell>
          <cell r="AE369">
            <v>176.53596807645806</v>
          </cell>
          <cell r="AF369">
            <v>39.703676994079494</v>
          </cell>
          <cell r="AG369">
            <v>56.114530151632351</v>
          </cell>
          <cell r="AH369" t="str">
            <v>Instrumentación</v>
          </cell>
          <cell r="AI369">
            <v>757.54615704703679</v>
          </cell>
          <cell r="AJ369">
            <v>16</v>
          </cell>
          <cell r="AK369">
            <v>47.346634815439799</v>
          </cell>
        </row>
        <row r="370">
          <cell r="A370" t="str">
            <v>C146</v>
          </cell>
          <cell r="B370" t="str">
            <v>COND</v>
          </cell>
          <cell r="C370" t="str">
            <v>WWOLEII09081200800</v>
          </cell>
          <cell r="D370" t="str">
            <v>VENTANILLA, SANTA ROSA Y MALACAS</v>
          </cell>
          <cell r="E370" t="str">
            <v>POWER CENTER: REV CUBICULO (PARTE FIJA)</v>
          </cell>
          <cell r="F370" t="str">
            <v xml:space="preserve">INCLUIDO EL DESMONTAJE DEL CONMUTADOR (PARTE EXTRAIBLE), LUBRICACIÓN, SUSTITUCIÓN DEL COMPONENTE EN FALLO, PRUEBAS FUNCIÓNALES, PRUEBAS FINALES DE CARRERA, MECANISMOS CT´S, PT´S, MEDIDORES, FUSIBLES Y REPARACIÓN DE PUNTOS CALIENTES EN LA BARRA ETC. </v>
          </cell>
          <cell r="G370" t="str">
            <v>LEII0900</v>
          </cell>
          <cell r="H370" t="str">
            <v>NUM</v>
          </cell>
          <cell r="I370">
            <v>1</v>
          </cell>
          <cell r="J370">
            <v>4</v>
          </cell>
          <cell r="K370">
            <v>2</v>
          </cell>
          <cell r="L370">
            <v>8</v>
          </cell>
          <cell r="M370" t="str">
            <v>NO</v>
          </cell>
          <cell r="N370">
            <v>4</v>
          </cell>
          <cell r="O370">
            <v>3</v>
          </cell>
          <cell r="P370">
            <v>3</v>
          </cell>
          <cell r="Q370">
            <v>12</v>
          </cell>
          <cell r="R370">
            <v>9</v>
          </cell>
          <cell r="S370">
            <v>9</v>
          </cell>
          <cell r="T370">
            <v>384.89734863721918</v>
          </cell>
          <cell r="U370">
            <v>384.89734863721918</v>
          </cell>
          <cell r="V370">
            <v>384.89734863721918</v>
          </cell>
          <cell r="W370">
            <v>4618.76818364663</v>
          </cell>
          <cell r="X370">
            <v>3464.0761377349727</v>
          </cell>
          <cell r="Y370">
            <v>8082.8443213816026</v>
          </cell>
          <cell r="Z370">
            <v>3464.0761377349727</v>
          </cell>
          <cell r="AA370">
            <v>384.89734863721918</v>
          </cell>
          <cell r="AB370">
            <v>23.057832511738386</v>
          </cell>
          <cell r="AC370">
            <v>8</v>
          </cell>
          <cell r="AD370">
            <v>58.167401901955209</v>
          </cell>
          <cell r="AE370">
            <v>93.583554912959471</v>
          </cell>
          <cell r="AF370">
            <v>20.172817014529308</v>
          </cell>
          <cell r="AG370">
            <v>28.51091471386809</v>
          </cell>
          <cell r="AH370" t="str">
            <v>Electricidad</v>
          </cell>
          <cell r="AI370">
            <v>384.89734863721918</v>
          </cell>
          <cell r="AJ370">
            <v>8</v>
          </cell>
          <cell r="AK370">
            <v>48.112168579652398</v>
          </cell>
        </row>
        <row r="371">
          <cell r="A371" t="str">
            <v>C144</v>
          </cell>
          <cell r="B371" t="str">
            <v>COND</v>
          </cell>
          <cell r="C371" t="str">
            <v>WWOLEII09081200500</v>
          </cell>
          <cell r="D371" t="str">
            <v>VENTANILLA, SANTA ROSA Y MALACAS</v>
          </cell>
          <cell r="E371" t="str">
            <v>MCC: REVISIÓN DEL CUBICULO (PARTE FIJA)</v>
          </cell>
          <cell r="F371" t="str">
            <v xml:space="preserve">INCLUIDO EL DESMONTAJE DEL CAJON (PARTE EXTRAIBLE), LUBRICACIÓN, SUSTITUCIÓN DEL COMPONENTE EN FALLO, PRUEBAS FUNCIÓNALES, PRUEBAS FINALES DE CARRERA, MECANISMOS, CT´S, PT´S, MEDIDORES, FUSIBLES Y REPARACIÓN DE PUNTOS CALIENTES EN LA BARRA ETC. </v>
          </cell>
          <cell r="G371" t="str">
            <v>LEII0900</v>
          </cell>
          <cell r="H371" t="str">
            <v>NUM</v>
          </cell>
          <cell r="I371">
            <v>1</v>
          </cell>
          <cell r="J371">
            <v>4</v>
          </cell>
          <cell r="K371">
            <v>2</v>
          </cell>
          <cell r="L371">
            <v>8</v>
          </cell>
          <cell r="M371" t="str">
            <v>NO</v>
          </cell>
          <cell r="N371">
            <v>4</v>
          </cell>
          <cell r="O371">
            <v>3</v>
          </cell>
          <cell r="P371">
            <v>3</v>
          </cell>
          <cell r="Q371">
            <v>12</v>
          </cell>
          <cell r="R371">
            <v>9</v>
          </cell>
          <cell r="S371">
            <v>9</v>
          </cell>
          <cell r="T371">
            <v>384.89734863721907</v>
          </cell>
          <cell r="U371">
            <v>384.89734863721907</v>
          </cell>
          <cell r="V371">
            <v>384.89734863721907</v>
          </cell>
          <cell r="W371">
            <v>4618.768183646629</v>
          </cell>
          <cell r="X371">
            <v>3464.0761377349718</v>
          </cell>
          <cell r="Y371">
            <v>8082.8443213816008</v>
          </cell>
          <cell r="Z371">
            <v>3464.0761377349718</v>
          </cell>
          <cell r="AA371">
            <v>384.89734863721907</v>
          </cell>
          <cell r="AB371">
            <v>23.057832511738386</v>
          </cell>
          <cell r="AC371">
            <v>8</v>
          </cell>
          <cell r="AD371">
            <v>58.167401901955188</v>
          </cell>
          <cell r="AE371">
            <v>93.583554912959428</v>
          </cell>
          <cell r="AF371">
            <v>20.172817014529301</v>
          </cell>
          <cell r="AG371">
            <v>28.510914713868079</v>
          </cell>
          <cell r="AH371" t="str">
            <v>Electricidad</v>
          </cell>
          <cell r="AI371">
            <v>384.89734863721907</v>
          </cell>
          <cell r="AJ371">
            <v>8</v>
          </cell>
          <cell r="AK371">
            <v>48.112168579652383</v>
          </cell>
        </row>
        <row r="372">
          <cell r="A372" t="str">
            <v>C143</v>
          </cell>
          <cell r="B372" t="str">
            <v>COND</v>
          </cell>
          <cell r="C372" t="str">
            <v>WWOLEII09081200400</v>
          </cell>
          <cell r="D372" t="str">
            <v>VENTANILLA, SANTA ROSA Y MALACAS</v>
          </cell>
          <cell r="E372" t="str">
            <v>MCC: REVISIÓN DE CAJON (PARTE EXTRAIBLE)</v>
          </cell>
          <cell r="F372" t="str">
            <v>INCLUIDA LA RETIRADA DEL CAJON, BUSQUEDA DEL FALLO EN TALLER, SUSTITUCIÓN DE LOS ELEMENTOS DEFECTUOSOS, VERIFICACIÓN DE LAS CONEXIONES, LIMPIEZA DE BORNAS, PRUEBAS FUNCIÓNALES, ETC.</v>
          </cell>
          <cell r="G372" t="str">
            <v>LEII0900</v>
          </cell>
          <cell r="H372" t="str">
            <v>NUM</v>
          </cell>
          <cell r="I372">
            <v>1</v>
          </cell>
          <cell r="J372">
            <v>4</v>
          </cell>
          <cell r="K372">
            <v>2</v>
          </cell>
          <cell r="L372">
            <v>8</v>
          </cell>
          <cell r="M372" t="str">
            <v>NO</v>
          </cell>
          <cell r="N372">
            <v>4</v>
          </cell>
          <cell r="O372">
            <v>3</v>
          </cell>
          <cell r="P372">
            <v>3</v>
          </cell>
          <cell r="Q372">
            <v>12</v>
          </cell>
          <cell r="R372">
            <v>9</v>
          </cell>
          <cell r="S372">
            <v>9</v>
          </cell>
          <cell r="T372">
            <v>384.89734863721907</v>
          </cell>
          <cell r="U372">
            <v>384.89734863721907</v>
          </cell>
          <cell r="V372">
            <v>384.89734863721907</v>
          </cell>
          <cell r="W372">
            <v>4618.768183646629</v>
          </cell>
          <cell r="X372">
            <v>3464.0761377349718</v>
          </cell>
          <cell r="Y372">
            <v>8082.8443213816008</v>
          </cell>
          <cell r="Z372">
            <v>3464.0761377349718</v>
          </cell>
          <cell r="AA372">
            <v>384.89734863721907</v>
          </cell>
          <cell r="AB372">
            <v>23.057832511738386</v>
          </cell>
          <cell r="AC372">
            <v>8</v>
          </cell>
          <cell r="AD372">
            <v>58.167401901955188</v>
          </cell>
          <cell r="AE372">
            <v>93.583554912959428</v>
          </cell>
          <cell r="AF372">
            <v>20.172817014529301</v>
          </cell>
          <cell r="AG372">
            <v>28.510914713868079</v>
          </cell>
          <cell r="AH372" t="str">
            <v>Electricidad</v>
          </cell>
          <cell r="AI372">
            <v>384.89734863721907</v>
          </cell>
          <cell r="AJ372">
            <v>8</v>
          </cell>
          <cell r="AK372">
            <v>48.112168579652383</v>
          </cell>
        </row>
        <row r="373">
          <cell r="A373" t="str">
            <v>C246</v>
          </cell>
          <cell r="B373" t="str">
            <v>COND</v>
          </cell>
          <cell r="C373" t="str">
            <v>WWOMMIM01060400900</v>
          </cell>
          <cell r="D373" t="str">
            <v>VENTANILLA, SANTA ROSA Y MALACAS</v>
          </cell>
          <cell r="E373" t="str">
            <v>SUSTITUCIÓN PRENSA VÁLVULA D&lt;=2 IN</v>
          </cell>
          <cell r="F373" t="str">
            <v>EXTRACCIÓN DE PRENSA. DESMONTAJE ANILLOS DEL FONDO, CONTROL DE MEDICIÓNES, LIMPIEZA DEL VÁSTAGO Y CÁMARA DE EMPAQUES. SANEAR ANILLOS Y TIRANTES . REMONTAJE DE JUNTAS Y DE LOS ANILLOS DE CONTENCIÓN. EN CASO SÓLO REAPRIETE PRENSA SE CONSIDERARÁ EL 10% DE LA ACTIVIDAD</v>
          </cell>
          <cell r="G373" t="str">
            <v>MMIM0100</v>
          </cell>
          <cell r="H373" t="str">
            <v>NUM</v>
          </cell>
          <cell r="I373">
            <v>1</v>
          </cell>
          <cell r="J373">
            <v>3</v>
          </cell>
          <cell r="K373">
            <v>2</v>
          </cell>
          <cell r="L373">
            <v>6</v>
          </cell>
          <cell r="M373" t="str">
            <v>NO</v>
          </cell>
          <cell r="N373">
            <v>4</v>
          </cell>
          <cell r="O373">
            <v>3</v>
          </cell>
          <cell r="P373">
            <v>3</v>
          </cell>
          <cell r="Q373">
            <v>12</v>
          </cell>
          <cell r="R373">
            <v>9</v>
          </cell>
          <cell r="S373">
            <v>9</v>
          </cell>
          <cell r="T373">
            <v>256.90547649199476</v>
          </cell>
          <cell r="U373">
            <v>256.90547649199476</v>
          </cell>
          <cell r="V373">
            <v>256.90547649199476</v>
          </cell>
          <cell r="W373">
            <v>3082.8657179039374</v>
          </cell>
          <cell r="X373">
            <v>2312.1492884279528</v>
          </cell>
          <cell r="Y373">
            <v>5395.0150063318906</v>
          </cell>
          <cell r="Z373">
            <v>2312.1492884279528</v>
          </cell>
          <cell r="AA373">
            <v>256.90547649199476</v>
          </cell>
          <cell r="AB373">
            <v>19.171538486527368</v>
          </cell>
          <cell r="AC373">
            <v>6</v>
          </cell>
          <cell r="AD373">
            <v>41.926861283640029</v>
          </cell>
          <cell r="AE373">
            <v>67.454701378602806</v>
          </cell>
          <cell r="AF373">
            <v>13.464647614884422</v>
          </cell>
          <cell r="AG373">
            <v>19.030035295703318</v>
          </cell>
          <cell r="AH373" t="str">
            <v>Mecánica</v>
          </cell>
          <cell r="AI373">
            <v>256.90547649199476</v>
          </cell>
          <cell r="AJ373">
            <v>6</v>
          </cell>
          <cell r="AK373">
            <v>42.81757941533246</v>
          </cell>
        </row>
        <row r="374">
          <cell r="A374" t="str">
            <v>C247</v>
          </cell>
          <cell r="B374" t="str">
            <v>COND</v>
          </cell>
          <cell r="C374" t="str">
            <v>WWOMMIM01060401200</v>
          </cell>
          <cell r="D374" t="str">
            <v>VENTANILLA, SANTA ROSA Y MALACAS</v>
          </cell>
          <cell r="E374" t="str">
            <v>SUSTITUCIÓN PRENSA VÁLVULA D&gt;10 IN</v>
          </cell>
          <cell r="F374" t="str">
            <v>EXTRACCIÓN DE PRENSA. DESMONTAJE ANILLOS DEL FONDO, CONTROL DE MEDICIÓNES, LIMPIEZA DEL VÁSTAGO Y CÁMARA DE EMPAQUES. SANEAR ANILLOS Y TIRANTES . REMONTAJE DE JUNTAS Y DE LOS ANILLOS DE CONTENCIÓN. EN CASO SÓLO REAPRIETE PRENSA SE CONSIDERARÁ EL 10% DE LA ACTIVIDAD</v>
          </cell>
          <cell r="G374" t="str">
            <v>MMIM0100</v>
          </cell>
          <cell r="H374" t="str">
            <v>NUM</v>
          </cell>
          <cell r="I374">
            <v>1</v>
          </cell>
          <cell r="J374">
            <v>6</v>
          </cell>
          <cell r="K374">
            <v>2</v>
          </cell>
          <cell r="L374">
            <v>12</v>
          </cell>
          <cell r="M374" t="str">
            <v>NO</v>
          </cell>
          <cell r="N374">
            <v>4</v>
          </cell>
          <cell r="O374">
            <v>3</v>
          </cell>
          <cell r="P374">
            <v>3</v>
          </cell>
          <cell r="Q374">
            <v>12</v>
          </cell>
          <cell r="R374">
            <v>9</v>
          </cell>
          <cell r="S374">
            <v>9</v>
          </cell>
          <cell r="T374">
            <v>539.07229130085079</v>
          </cell>
          <cell r="U374">
            <v>539.07229130085079</v>
          </cell>
          <cell r="V374">
            <v>539.07229130085079</v>
          </cell>
          <cell r="W374">
            <v>6468.8674956102095</v>
          </cell>
          <cell r="X374">
            <v>4851.6506217076567</v>
          </cell>
          <cell r="Y374">
            <v>11320.518117317866</v>
          </cell>
          <cell r="Z374">
            <v>4851.6506217076567</v>
          </cell>
          <cell r="AA374">
            <v>539.07229130085079</v>
          </cell>
          <cell r="AB374">
            <v>20.776439546856693</v>
          </cell>
          <cell r="AC374">
            <v>12</v>
          </cell>
          <cell r="AD374">
            <v>84.92980153783239</v>
          </cell>
          <cell r="AE374">
            <v>136.64066962040684</v>
          </cell>
          <cell r="AF374">
            <v>28.253264743231171</v>
          </cell>
          <cell r="AG374">
            <v>39.931280837100061</v>
          </cell>
          <cell r="AH374" t="str">
            <v>Mecánica</v>
          </cell>
          <cell r="AI374">
            <v>539.07229130085079</v>
          </cell>
          <cell r="AJ374">
            <v>12</v>
          </cell>
          <cell r="AK374">
            <v>44.922690941737564</v>
          </cell>
        </row>
        <row r="375">
          <cell r="A375" t="str">
            <v>C248</v>
          </cell>
          <cell r="B375" t="str">
            <v>COND</v>
          </cell>
          <cell r="C375" t="str">
            <v>WWOMMIM01060401000</v>
          </cell>
          <cell r="D375" t="str">
            <v>VENTANILLA, SANTA ROSA Y MALACAS</v>
          </cell>
          <cell r="E375" t="str">
            <v>SUSTITUCIÓN PRENSA VÁLVULA D&gt;2&lt;=4 IN</v>
          </cell>
          <cell r="F375" t="str">
            <v>EXTRACCIÓN DE PRENSA. DESMONTAJE ANILLOS DEL FONDO, CONTROL DE MEDICIÓNES, LIMPIEZA DEL VÁSTAGO Y CÁMARA DE EMPAQUES. SANEAR ANILLOS Y TIRANTES . REMONTAJE DE JUNTAS Y DE LOS ANILLOS DE CONTENCIÓN. EN CASO SÓLO REAPRIETE PRENSA SE CONSIDERARÁ EL 10% DE LA ACTIVIDAD</v>
          </cell>
          <cell r="G375" t="str">
            <v>MMIM0100</v>
          </cell>
          <cell r="H375" t="str">
            <v>NUM</v>
          </cell>
          <cell r="I375">
            <v>1</v>
          </cell>
          <cell r="J375">
            <v>4</v>
          </cell>
          <cell r="K375">
            <v>2</v>
          </cell>
          <cell r="L375">
            <v>8</v>
          </cell>
          <cell r="M375" t="str">
            <v>NO</v>
          </cell>
          <cell r="N375">
            <v>4</v>
          </cell>
          <cell r="O375">
            <v>3</v>
          </cell>
          <cell r="P375">
            <v>3</v>
          </cell>
          <cell r="Q375">
            <v>12</v>
          </cell>
          <cell r="R375">
            <v>9</v>
          </cell>
          <cell r="S375">
            <v>9</v>
          </cell>
          <cell r="T375">
            <v>359.38152753390051</v>
          </cell>
          <cell r="U375">
            <v>359.38152753390051</v>
          </cell>
          <cell r="V375">
            <v>359.38152753390051</v>
          </cell>
          <cell r="W375">
            <v>4312.5783304068063</v>
          </cell>
          <cell r="X375">
            <v>3234.4337478051048</v>
          </cell>
          <cell r="Y375">
            <v>7547.0120782119111</v>
          </cell>
          <cell r="Z375">
            <v>3234.4337478051048</v>
          </cell>
          <cell r="AA375">
            <v>359.38152753390051</v>
          </cell>
          <cell r="AB375">
            <v>20.776439546856693</v>
          </cell>
          <cell r="AC375">
            <v>8</v>
          </cell>
          <cell r="AD375">
            <v>56.61986769188826</v>
          </cell>
          <cell r="AE375">
            <v>91.093779746937898</v>
          </cell>
          <cell r="AF375">
            <v>18.835509828820783</v>
          </cell>
          <cell r="AG375">
            <v>26.620853891400039</v>
          </cell>
          <cell r="AH375" t="str">
            <v>Mecánica</v>
          </cell>
          <cell r="AI375">
            <v>359.38152753390051</v>
          </cell>
          <cell r="AJ375">
            <v>8</v>
          </cell>
          <cell r="AK375">
            <v>44.922690941737564</v>
          </cell>
        </row>
        <row r="376">
          <cell r="A376" t="str">
            <v>C249</v>
          </cell>
          <cell r="B376" t="str">
            <v>COND</v>
          </cell>
          <cell r="C376" t="str">
            <v>WWOMMIM01060401100</v>
          </cell>
          <cell r="D376" t="str">
            <v>VENTANILLA, SANTA ROSA Y MALACAS</v>
          </cell>
          <cell r="E376" t="str">
            <v>SUSTITUCIÓN PRENSA VÁLVULA D&gt;4&lt;=10 IN</v>
          </cell>
          <cell r="F376" t="str">
            <v>EXTRACCIÓN DE PRENSA. DESMONTAJE ANILLOS DEL FONDO, CONTROL DE MEDICIÓNES, LIMPIEZA DEL VÁSTAGO Y CÁMARA DE EMPAQUES. SANEAR ANILLOS Y TIRANTES . REMONTAJE DE JUNTAS Y DE LOS ANILLOS DE CONTENCIÓN. EN CASO SÓLO REAPRIETE PRENSA SE CONSIDERARÁ EL 10% DE LA ACTIVIDAD</v>
          </cell>
          <cell r="G376" t="str">
            <v>MMIM0100</v>
          </cell>
          <cell r="H376" t="str">
            <v>NUM</v>
          </cell>
          <cell r="I376">
            <v>1</v>
          </cell>
          <cell r="J376">
            <v>5</v>
          </cell>
          <cell r="K376">
            <v>2</v>
          </cell>
          <cell r="L376">
            <v>10</v>
          </cell>
          <cell r="M376" t="str">
            <v>NO</v>
          </cell>
          <cell r="N376">
            <v>4</v>
          </cell>
          <cell r="O376">
            <v>3</v>
          </cell>
          <cell r="P376">
            <v>3</v>
          </cell>
          <cell r="Q376">
            <v>12</v>
          </cell>
          <cell r="R376">
            <v>9</v>
          </cell>
          <cell r="S376">
            <v>9</v>
          </cell>
          <cell r="T376">
            <v>449.22690941737528</v>
          </cell>
          <cell r="U376">
            <v>449.22690941737528</v>
          </cell>
          <cell r="V376">
            <v>449.22690941737528</v>
          </cell>
          <cell r="W376">
            <v>5390.7229130085034</v>
          </cell>
          <cell r="X376">
            <v>4043.0421847563775</v>
          </cell>
          <cell r="Y376">
            <v>9433.7650977648809</v>
          </cell>
          <cell r="Z376">
            <v>4043.0421847563775</v>
          </cell>
          <cell r="AA376">
            <v>449.22690941737528</v>
          </cell>
          <cell r="AB376">
            <v>20.776439546856693</v>
          </cell>
          <cell r="AC376">
            <v>10</v>
          </cell>
          <cell r="AD376">
            <v>70.774834614860211</v>
          </cell>
          <cell r="AE376">
            <v>113.86722468367218</v>
          </cell>
          <cell r="AF376">
            <v>23.544387286025959</v>
          </cell>
          <cell r="AG376">
            <v>33.276067364250018</v>
          </cell>
          <cell r="AH376" t="str">
            <v>Mecánica</v>
          </cell>
          <cell r="AI376">
            <v>449.22690941737528</v>
          </cell>
          <cell r="AJ376">
            <v>10</v>
          </cell>
          <cell r="AK376">
            <v>44.922690941737528</v>
          </cell>
        </row>
        <row r="377">
          <cell r="A377" t="str">
            <v>C303</v>
          </cell>
          <cell r="B377" t="str">
            <v>COND</v>
          </cell>
          <cell r="C377" t="str">
            <v>WWOMMIM01061600200</v>
          </cell>
          <cell r="D377" t="str">
            <v>VENTANILLA, SANTA ROSA Y MALACAS</v>
          </cell>
          <cell r="E377" t="str">
            <v>REPARACIÓN PISTOLETE QUEMADOR</v>
          </cell>
          <cell r="F377" t="str">
            <v>EXTRACCIÓN COMPLETA LANZA QUEMADOR Y TRASLADO A BANCO DE TRABAJO. DESMONTAJE Y LIMPIEZA DEL PISTOLETE. INSPECCIÓN VISUAL Y SUSTITUCIÓN POR REPUESTO SI PROCEDE. REACONDICIÓNAR ROSCA LANZA. MONTAJE DEL CONJUNTO</v>
          </cell>
          <cell r="G377" t="str">
            <v>MMIM0100</v>
          </cell>
          <cell r="H377" t="str">
            <v>NUM</v>
          </cell>
          <cell r="I377">
            <v>1</v>
          </cell>
          <cell r="J377">
            <v>6</v>
          </cell>
          <cell r="K377">
            <v>4</v>
          </cell>
          <cell r="L377">
            <v>24</v>
          </cell>
          <cell r="M377" t="str">
            <v>SI</v>
          </cell>
          <cell r="N377">
            <v>4</v>
          </cell>
          <cell r="O377">
            <v>3</v>
          </cell>
          <cell r="P377">
            <v>3</v>
          </cell>
          <cell r="Q377">
            <v>12</v>
          </cell>
          <cell r="R377">
            <v>9</v>
          </cell>
          <cell r="S377">
            <v>9</v>
          </cell>
          <cell r="T377">
            <v>997.66802750069485</v>
          </cell>
          <cell r="U377">
            <v>997.66802750069485</v>
          </cell>
          <cell r="V377">
            <v>997.66802750069485</v>
          </cell>
          <cell r="W377">
            <v>11972.016330008339</v>
          </cell>
          <cell r="X377">
            <v>8979.0122475062544</v>
          </cell>
          <cell r="Y377">
            <v>20951.028577514593</v>
          </cell>
          <cell r="Z377">
            <v>8979.0122475062544</v>
          </cell>
          <cell r="AA377">
            <v>997.66802750069485</v>
          </cell>
          <cell r="AB377">
            <v>18.036506268193349</v>
          </cell>
          <cell r="AC377">
            <v>24</v>
          </cell>
          <cell r="AD377">
            <v>168.11973551677133</v>
          </cell>
          <cell r="AE377">
            <v>270.48212549024203</v>
          </cell>
          <cell r="AF377">
            <v>52.288680686619223</v>
          </cell>
          <cell r="AG377">
            <v>73.901335370421847</v>
          </cell>
          <cell r="AH377" t="str">
            <v>Mecánica</v>
          </cell>
          <cell r="AI377">
            <v>997.66802750069485</v>
          </cell>
          <cell r="AJ377">
            <v>24</v>
          </cell>
          <cell r="AK377">
            <v>41.569501145862283</v>
          </cell>
        </row>
        <row r="378">
          <cell r="A378" t="str">
            <v>C307</v>
          </cell>
          <cell r="B378" t="str">
            <v>COND</v>
          </cell>
          <cell r="C378" t="str">
            <v>WWOMMIM01061600400</v>
          </cell>
          <cell r="D378" t="str">
            <v>VENTANILLA, SANTA ROSA Y MALACAS</v>
          </cell>
          <cell r="E378" t="str">
            <v>REVISIÓN COMPLETA QUEMADOR</v>
          </cell>
          <cell r="F378" t="str">
            <v>EXTRACCIÓN COMPLETA LANZA QUEMADOR Y TRASLADO A BANCO DE TRABAJO. DESMONTAJE Y LIMPIEZA DE TODOS LOS ELEMENTOS, INCLUYENDO: BOQUILLA, CÁMARA DE MEZCLA, ATOMIZADOR, PISTOLETE. REACONDICIÓNAR ROSCAS. INSPECCIÓN VISUAL Y TOMA DE MEDIDAS DE LANZA Y BOQUILLA. MONTAJE DEL CONJUNTO</v>
          </cell>
          <cell r="G378" t="str">
            <v>MMIM0100</v>
          </cell>
          <cell r="H378" t="str">
            <v>NUM</v>
          </cell>
          <cell r="I378">
            <v>1</v>
          </cell>
          <cell r="J378">
            <v>10</v>
          </cell>
          <cell r="K378">
            <v>4</v>
          </cell>
          <cell r="L378">
            <v>40</v>
          </cell>
          <cell r="M378" t="str">
            <v>SI</v>
          </cell>
          <cell r="N378">
            <v>4</v>
          </cell>
          <cell r="O378">
            <v>3</v>
          </cell>
          <cell r="P378">
            <v>3</v>
          </cell>
          <cell r="Q378">
            <v>12</v>
          </cell>
          <cell r="R378">
            <v>9</v>
          </cell>
          <cell r="S378">
            <v>9</v>
          </cell>
          <cell r="T378">
            <v>1662.7800458344914</v>
          </cell>
          <cell r="U378">
            <v>1662.7800458344914</v>
          </cell>
          <cell r="V378">
            <v>1662.7800458344914</v>
          </cell>
          <cell r="W378">
            <v>19953.360550013895</v>
          </cell>
          <cell r="X378">
            <v>14965.020412510423</v>
          </cell>
          <cell r="Y378">
            <v>34918.380962524316</v>
          </cell>
          <cell r="Z378">
            <v>14965.020412510423</v>
          </cell>
          <cell r="AA378">
            <v>1662.7800458344914</v>
          </cell>
          <cell r="AB378">
            <v>18.036506268193349</v>
          </cell>
          <cell r="AC378">
            <v>40</v>
          </cell>
          <cell r="AD378">
            <v>280.19955919461887</v>
          </cell>
          <cell r="AE378">
            <v>450.80354248373669</v>
          </cell>
          <cell r="AF378">
            <v>87.147801144365374</v>
          </cell>
          <cell r="AG378">
            <v>123.16889228403639</v>
          </cell>
          <cell r="AH378" t="str">
            <v>Mecánica</v>
          </cell>
          <cell r="AI378">
            <v>1662.7800458344914</v>
          </cell>
          <cell r="AJ378">
            <v>40</v>
          </cell>
          <cell r="AK378">
            <v>41.569501145862283</v>
          </cell>
        </row>
        <row r="379">
          <cell r="A379" t="str">
            <v>C302</v>
          </cell>
          <cell r="B379" t="str">
            <v>COND</v>
          </cell>
          <cell r="C379" t="str">
            <v>WWOMMIM01061600300</v>
          </cell>
          <cell r="D379" t="str">
            <v>VENTANILLA, SANTA ROSA Y MALACAS</v>
          </cell>
          <cell r="E379" t="str">
            <v>REPARACIÓN CÁMARA MEZCLA-ATOM QUEMADOR</v>
          </cell>
          <cell r="F379" t="str">
            <v>EXTRACCIÓN COMPLETA LANZA QUEMADOR Y TRASLADO A BANCO DE TRABAJO. DESMONTAJE Y LIMPIEZA DE LA CÁMARA DE MEZCLAY ATOMIZADOR. INSPECCIÓN VISUAL Y SUSTITUCIÓN POR REPUESTO SI PROCEDE. REACONDICIÓNAR ROSCA LANZA. MONTAJE DEL CONJUNTO</v>
          </cell>
          <cell r="G379" t="str">
            <v>MMIM0100</v>
          </cell>
          <cell r="H379" t="str">
            <v>NUM</v>
          </cell>
          <cell r="I379">
            <v>1</v>
          </cell>
          <cell r="J379">
            <v>8</v>
          </cell>
          <cell r="K379">
            <v>4</v>
          </cell>
          <cell r="L379">
            <v>32</v>
          </cell>
          <cell r="M379" t="str">
            <v>SI</v>
          </cell>
          <cell r="N379">
            <v>4</v>
          </cell>
          <cell r="O379">
            <v>3</v>
          </cell>
          <cell r="P379">
            <v>3</v>
          </cell>
          <cell r="Q379">
            <v>12</v>
          </cell>
          <cell r="R379">
            <v>9</v>
          </cell>
          <cell r="S379">
            <v>9</v>
          </cell>
          <cell r="T379">
            <v>1330.2240366675928</v>
          </cell>
          <cell r="U379">
            <v>1330.2240366675928</v>
          </cell>
          <cell r="V379">
            <v>1330.2240366675928</v>
          </cell>
          <cell r="W379">
            <v>15962.688440011114</v>
          </cell>
          <cell r="X379">
            <v>11972.016330008335</v>
          </cell>
          <cell r="Y379">
            <v>27934.704770019449</v>
          </cell>
          <cell r="Z379">
            <v>11972.016330008335</v>
          </cell>
          <cell r="AA379">
            <v>1330.2240366675928</v>
          </cell>
          <cell r="AB379">
            <v>18.036506268193349</v>
          </cell>
          <cell r="AC379">
            <v>32</v>
          </cell>
          <cell r="AD379">
            <v>224.15964735569506</v>
          </cell>
          <cell r="AE379">
            <v>360.64283398698927</v>
          </cell>
          <cell r="AF379">
            <v>69.718240915492288</v>
          </cell>
          <cell r="AG379">
            <v>98.535113827229111</v>
          </cell>
          <cell r="AH379" t="str">
            <v>Mecánica</v>
          </cell>
          <cell r="AI379">
            <v>1330.2240366675928</v>
          </cell>
          <cell r="AJ379">
            <v>32</v>
          </cell>
          <cell r="AK379">
            <v>41.569501145862276</v>
          </cell>
        </row>
        <row r="380">
          <cell r="A380" t="str">
            <v>C304</v>
          </cell>
          <cell r="B380" t="str">
            <v>COND</v>
          </cell>
          <cell r="C380" t="str">
            <v>WWOMMIM01061600100</v>
          </cell>
          <cell r="D380" t="str">
            <v>VENTANILLA, SANTA ROSA Y MALACAS</v>
          </cell>
          <cell r="E380" t="str">
            <v>REPARAR BOQUILLA DEL QUEMADOR.</v>
          </cell>
          <cell r="F380" t="str">
            <v>EXTRACCIÓN COMPLETA LANZA QUEMADOR Y TRASLADO A BANCO DE TRABAJO. DESMONTAJE Y LIMPIEZA DE BOQUILLA. VERIFICACIÓN DE MEDIDAS Y SUTITUCIÓN POR REPUESTO SI PROCEDE. REACONDICIÓNAR ROSCA LANZA. MONTAJE DEL CONJUNTO</v>
          </cell>
          <cell r="G380" t="str">
            <v>MMIM0100</v>
          </cell>
          <cell r="H380" t="str">
            <v>NUM</v>
          </cell>
          <cell r="I380">
            <v>1</v>
          </cell>
          <cell r="J380">
            <v>6</v>
          </cell>
          <cell r="K380">
            <v>4</v>
          </cell>
          <cell r="L380">
            <v>24</v>
          </cell>
          <cell r="M380" t="str">
            <v>SI</v>
          </cell>
          <cell r="N380">
            <v>4</v>
          </cell>
          <cell r="O380">
            <v>3</v>
          </cell>
          <cell r="P380">
            <v>3</v>
          </cell>
          <cell r="Q380">
            <v>12</v>
          </cell>
          <cell r="R380">
            <v>9</v>
          </cell>
          <cell r="S380">
            <v>9</v>
          </cell>
          <cell r="T380">
            <v>997.66802750069417</v>
          </cell>
          <cell r="U380">
            <v>997.66802750069417</v>
          </cell>
          <cell r="V380">
            <v>997.66802750069417</v>
          </cell>
          <cell r="W380">
            <v>11972.01633000833</v>
          </cell>
          <cell r="X380">
            <v>8979.0122475062471</v>
          </cell>
          <cell r="Y380">
            <v>20951.028577514575</v>
          </cell>
          <cell r="Z380">
            <v>8979.0122475062471</v>
          </cell>
          <cell r="AA380">
            <v>997.66802750069417</v>
          </cell>
          <cell r="AB380">
            <v>18.036506268193349</v>
          </cell>
          <cell r="AC380">
            <v>24</v>
          </cell>
          <cell r="AD380">
            <v>168.11973551677116</v>
          </cell>
          <cell r="AE380">
            <v>270.48212549024174</v>
          </cell>
          <cell r="AF380">
            <v>52.288680686619195</v>
          </cell>
          <cell r="AG380">
            <v>73.901335370421791</v>
          </cell>
          <cell r="AH380" t="str">
            <v>Mecánica</v>
          </cell>
          <cell r="AI380">
            <v>997.66802750069417</v>
          </cell>
          <cell r="AJ380">
            <v>24</v>
          </cell>
          <cell r="AK380">
            <v>41.569501145862255</v>
          </cell>
        </row>
        <row r="381">
          <cell r="A381" t="str">
            <v>C305</v>
          </cell>
          <cell r="B381" t="str">
            <v>COND</v>
          </cell>
          <cell r="C381" t="str">
            <v>WWOMMIM01061600500</v>
          </cell>
          <cell r="D381" t="str">
            <v>VENTANILLA, SANTA ROSA Y MALACAS</v>
          </cell>
          <cell r="E381" t="str">
            <v>REPARAR CAÑA DEL QUEMADOR</v>
          </cell>
          <cell r="F381" t="str">
            <v>EXTRACCIÓN COMPLETA LANZA QUEMADOR Y TRASLADO A BANCO DE TRABAJO. DESMONTAJE DE ELEMENTOS. LIMPIEZA LANZA Y VERIFICACIÓN DE MEDIDAS Y SUTITUCIÓN POR REPUESTO SI PROCEDE. REACONDICIÓNAR ROSCA LANZA. MONTAJE DEL CONJUNTO</v>
          </cell>
          <cell r="G381" t="str">
            <v>MMIM0100</v>
          </cell>
          <cell r="H381" t="str">
            <v>NUM</v>
          </cell>
          <cell r="I381">
            <v>1</v>
          </cell>
          <cell r="J381">
            <v>5</v>
          </cell>
          <cell r="K381">
            <v>4</v>
          </cell>
          <cell r="L381">
            <v>20</v>
          </cell>
          <cell r="M381" t="str">
            <v>SI</v>
          </cell>
          <cell r="N381">
            <v>4</v>
          </cell>
          <cell r="O381">
            <v>3</v>
          </cell>
          <cell r="P381">
            <v>3</v>
          </cell>
          <cell r="Q381">
            <v>12</v>
          </cell>
          <cell r="R381">
            <v>9</v>
          </cell>
          <cell r="S381">
            <v>9</v>
          </cell>
          <cell r="T381">
            <v>831.39002291724569</v>
          </cell>
          <cell r="U381">
            <v>831.39002291724569</v>
          </cell>
          <cell r="V381">
            <v>831.39002291724569</v>
          </cell>
          <cell r="W381">
            <v>9976.6802750069473</v>
          </cell>
          <cell r="X381">
            <v>7482.5102062552114</v>
          </cell>
          <cell r="Y381">
            <v>17459.190481262158</v>
          </cell>
          <cell r="Z381">
            <v>7482.5102062552114</v>
          </cell>
          <cell r="AA381">
            <v>831.39002291724569</v>
          </cell>
          <cell r="AB381">
            <v>18.036506268193349</v>
          </cell>
          <cell r="AC381">
            <v>20</v>
          </cell>
          <cell r="AD381">
            <v>140.09977959730944</v>
          </cell>
          <cell r="AE381">
            <v>225.40177124186835</v>
          </cell>
          <cell r="AF381">
            <v>43.573900572182687</v>
          </cell>
          <cell r="AG381">
            <v>61.584446142018194</v>
          </cell>
          <cell r="AH381" t="str">
            <v>Mecánica</v>
          </cell>
          <cell r="AI381">
            <v>831.39002291724569</v>
          </cell>
          <cell r="AJ381">
            <v>20</v>
          </cell>
          <cell r="AK381">
            <v>41.569501145862283</v>
          </cell>
        </row>
        <row r="382">
          <cell r="A382" t="str">
            <v>C306</v>
          </cell>
          <cell r="B382" t="str">
            <v>COND</v>
          </cell>
          <cell r="C382" t="str">
            <v>WWOMMIM01061600600</v>
          </cell>
          <cell r="D382" t="str">
            <v>VENTANILLA, SANTA ROSA Y MALACAS</v>
          </cell>
          <cell r="E382" t="str">
            <v>REVISAR LANZA DE QUEMADOR G.O.</v>
          </cell>
          <cell r="F382" t="str">
            <v>EXTRACCIÓN COMPLETA LANZA IGNITOR Y TRASLADO A BANCO DE TRABAJO. DESMONTAJE Y LIMPIEZA DE TODOS LOS ELEMENTOS. REACONDICIÓNAR ROSCAS. INSPECCIÓN VISUAL Y TOMA DE MEDIDAS. MONTAJE DEL CONJUNTO</v>
          </cell>
          <cell r="G382" t="str">
            <v>MMIM0100</v>
          </cell>
          <cell r="H382" t="str">
            <v>NUM</v>
          </cell>
          <cell r="I382">
            <v>1</v>
          </cell>
          <cell r="J382">
            <v>5</v>
          </cell>
          <cell r="K382">
            <v>4</v>
          </cell>
          <cell r="L382">
            <v>20</v>
          </cell>
          <cell r="M382" t="str">
            <v>SI</v>
          </cell>
          <cell r="N382">
            <v>4</v>
          </cell>
          <cell r="O382">
            <v>3</v>
          </cell>
          <cell r="P382">
            <v>3</v>
          </cell>
          <cell r="Q382">
            <v>12</v>
          </cell>
          <cell r="R382">
            <v>9</v>
          </cell>
          <cell r="S382">
            <v>9</v>
          </cell>
          <cell r="T382">
            <v>831.39002291724569</v>
          </cell>
          <cell r="U382">
            <v>831.39002291724569</v>
          </cell>
          <cell r="V382">
            <v>831.39002291724569</v>
          </cell>
          <cell r="W382">
            <v>9976.6802750069473</v>
          </cell>
          <cell r="X382">
            <v>7482.5102062552114</v>
          </cell>
          <cell r="Y382">
            <v>17459.190481262158</v>
          </cell>
          <cell r="Z382">
            <v>7482.5102062552114</v>
          </cell>
          <cell r="AA382">
            <v>831.39002291724569</v>
          </cell>
          <cell r="AB382">
            <v>18.036506268193349</v>
          </cell>
          <cell r="AC382">
            <v>20</v>
          </cell>
          <cell r="AD382">
            <v>140.09977959730944</v>
          </cell>
          <cell r="AE382">
            <v>225.40177124186835</v>
          </cell>
          <cell r="AF382">
            <v>43.573900572182687</v>
          </cell>
          <cell r="AG382">
            <v>61.584446142018194</v>
          </cell>
          <cell r="AH382" t="str">
            <v>Mecánica</v>
          </cell>
          <cell r="AI382">
            <v>831.39002291724569</v>
          </cell>
          <cell r="AJ382">
            <v>20</v>
          </cell>
          <cell r="AK382">
            <v>41.569501145862283</v>
          </cell>
        </row>
        <row r="383">
          <cell r="A383" t="str">
            <v>P090</v>
          </cell>
          <cell r="B383" t="str">
            <v>PREV</v>
          </cell>
          <cell r="C383" t="str">
            <v>WWOMMIM01060701200</v>
          </cell>
          <cell r="D383" t="str">
            <v>VENTANILLA Y MALACAS</v>
          </cell>
          <cell r="E383" t="str">
            <v>LIMPIEZA MANUAL IGVS</v>
          </cell>
          <cell r="F383" t="str">
            <v>ENTRADA EN INLET DE TURBINA DE GAS Y LIMPIEZA MANUAL DE LOS IGVS Y PRIMERA ETAPA DEL COMPRESOR CON PRODUCTO ADECUADO</v>
          </cell>
          <cell r="G383" t="str">
            <v>MMIM0106</v>
          </cell>
          <cell r="H383" t="str">
            <v>NUM</v>
          </cell>
          <cell r="I383">
            <v>1</v>
          </cell>
          <cell r="J383">
            <v>6</v>
          </cell>
          <cell r="K383">
            <v>4</v>
          </cell>
          <cell r="L383">
            <v>24</v>
          </cell>
          <cell r="M383" t="str">
            <v>SI</v>
          </cell>
          <cell r="N383">
            <v>4</v>
          </cell>
          <cell r="O383">
            <v>0</v>
          </cell>
          <cell r="P383">
            <v>6</v>
          </cell>
          <cell r="Q383">
            <v>12</v>
          </cell>
          <cell r="R383">
            <v>0</v>
          </cell>
          <cell r="S383">
            <v>18</v>
          </cell>
          <cell r="T383">
            <v>1055.189743785776</v>
          </cell>
          <cell r="U383"/>
          <cell r="V383">
            <v>1055.189743785776</v>
          </cell>
          <cell r="W383">
            <v>12662.276925429313</v>
          </cell>
          <cell r="X383">
            <v>0</v>
          </cell>
          <cell r="Y383">
            <v>12662.276925429313</v>
          </cell>
          <cell r="Z383">
            <v>18993.415388143971</v>
          </cell>
          <cell r="AA383">
            <v>1055.189743785776</v>
          </cell>
          <cell r="AB383">
            <v>19.171538486527368</v>
          </cell>
          <cell r="AC383">
            <v>24</v>
          </cell>
          <cell r="AD383">
            <v>164.15085528984983</v>
          </cell>
          <cell r="AE383">
            <v>297.45631588480012</v>
          </cell>
          <cell r="AF383">
            <v>55.303445691078402</v>
          </cell>
          <cell r="AG383">
            <v>78.16220324339082</v>
          </cell>
          <cell r="AH383" t="str">
            <v>Mecánica</v>
          </cell>
          <cell r="AI383">
            <v>1055.189743785776</v>
          </cell>
          <cell r="AJ383">
            <v>24</v>
          </cell>
          <cell r="AK383">
            <v>43.966239324407333</v>
          </cell>
        </row>
        <row r="384">
          <cell r="A384" t="str">
            <v>C273</v>
          </cell>
          <cell r="B384" t="str">
            <v>COND</v>
          </cell>
          <cell r="C384" t="str">
            <v>WWOMMIM01060701200</v>
          </cell>
          <cell r="D384" t="str">
            <v>VENTANILLA, SANTA ROSA Y MALACAS</v>
          </cell>
          <cell r="E384" t="str">
            <v>LIMPIEZA IGVS</v>
          </cell>
          <cell r="F384" t="str">
            <v xml:space="preserve">ENTRADA EN INLET DE TURBIA DE GAS Y LIMPIEZA MANUAL DE LOS IGVS Y PRIMERA ETAPA DEL COMPRESOR CON PRODCUTO ADECUADO </v>
          </cell>
          <cell r="G384" t="str">
            <v>MMIM0100</v>
          </cell>
          <cell r="H384" t="str">
            <v>NUM</v>
          </cell>
          <cell r="I384">
            <v>1</v>
          </cell>
          <cell r="J384">
            <v>6</v>
          </cell>
          <cell r="K384">
            <v>4</v>
          </cell>
          <cell r="L384">
            <v>24</v>
          </cell>
          <cell r="M384" t="str">
            <v>SI</v>
          </cell>
          <cell r="N384">
            <v>1</v>
          </cell>
          <cell r="O384">
            <v>1</v>
          </cell>
          <cell r="P384">
            <v>1</v>
          </cell>
          <cell r="Q384">
            <v>3</v>
          </cell>
          <cell r="R384">
            <v>3</v>
          </cell>
          <cell r="S384">
            <v>3</v>
          </cell>
          <cell r="T384">
            <v>1108.0984610689857</v>
          </cell>
          <cell r="U384">
            <v>1108.0984610689857</v>
          </cell>
          <cell r="V384">
            <v>1108.0984610689857</v>
          </cell>
          <cell r="W384">
            <v>3324.295383206957</v>
          </cell>
          <cell r="X384">
            <v>3324.295383206957</v>
          </cell>
          <cell r="Y384">
            <v>6648.590766413914</v>
          </cell>
          <cell r="Z384">
            <v>3324.295383206957</v>
          </cell>
          <cell r="AA384">
            <v>1108.0984610689857</v>
          </cell>
          <cell r="AB384">
            <v>21.911471765190715</v>
          </cell>
          <cell r="AC384">
            <v>24</v>
          </cell>
          <cell r="AD384">
            <v>169.44731269345345</v>
          </cell>
          <cell r="AE384">
            <v>272.61801926498265</v>
          </cell>
          <cell r="AF384">
            <v>58.076439259380798</v>
          </cell>
          <cell r="AG384">
            <v>82.081367486591532</v>
          </cell>
          <cell r="AH384" t="str">
            <v>Mecánica</v>
          </cell>
          <cell r="AI384">
            <v>1108.0984610689857</v>
          </cell>
          <cell r="AJ384">
            <v>24</v>
          </cell>
          <cell r="AK384">
            <v>46.170769211207734</v>
          </cell>
        </row>
        <row r="385">
          <cell r="A385" t="str">
            <v>P050</v>
          </cell>
          <cell r="B385" t="str">
            <v>PREV</v>
          </cell>
          <cell r="C385" t="str">
            <v>WWOLEII09081700100</v>
          </cell>
          <cell r="D385" t="str">
            <v>SANTA ROSA Y MALACAS</v>
          </cell>
          <cell r="E385" t="str">
            <v>PRUEBA FUNCIÓN DETECTOR DE INCENDIOS</v>
          </cell>
          <cell r="F385" t="str">
            <v>EJECUCIÓN DE PRUEBA FUNCIÓNAL SOBRE UN ELEMENTO DETECTOR DE INENDIO COMO SENSORES, BOTONES, SIRENAS Y LUCES</v>
          </cell>
          <cell r="G385" t="str">
            <v>LEII0908</v>
          </cell>
          <cell r="H385" t="str">
            <v>NUM</v>
          </cell>
          <cell r="I385">
            <v>1</v>
          </cell>
          <cell r="J385">
            <v>1</v>
          </cell>
          <cell r="K385">
            <v>3</v>
          </cell>
          <cell r="L385">
            <v>3</v>
          </cell>
          <cell r="M385" t="str">
            <v>NO</v>
          </cell>
          <cell r="N385">
            <v>0</v>
          </cell>
          <cell r="O385">
            <v>66</v>
          </cell>
          <cell r="P385">
            <v>190</v>
          </cell>
          <cell r="Q385">
            <v>0</v>
          </cell>
          <cell r="R385">
            <v>198</v>
          </cell>
          <cell r="S385">
            <v>570</v>
          </cell>
          <cell r="T385"/>
          <cell r="U385">
            <v>140.55526139340174</v>
          </cell>
          <cell r="V385">
            <v>140.55526139340174</v>
          </cell>
          <cell r="W385">
            <v>0</v>
          </cell>
          <cell r="X385">
            <v>27829.941755893542</v>
          </cell>
          <cell r="Y385">
            <v>27829.941755893542</v>
          </cell>
          <cell r="Z385">
            <v>80116.498994238995</v>
          </cell>
          <cell r="AA385">
            <v>140.55526139340174</v>
          </cell>
          <cell r="AB385">
            <v>22.888226288984878</v>
          </cell>
          <cell r="AC385">
            <v>3</v>
          </cell>
          <cell r="AD385">
            <v>20.741752868618509</v>
          </cell>
          <cell r="AE385">
            <v>33.370700858243907</v>
          </cell>
          <cell r="AF385">
            <v>7.3666279556290224</v>
          </cell>
          <cell r="AG385">
            <v>10.411500843955684</v>
          </cell>
          <cell r="AH385" t="str">
            <v>Instrumentación</v>
          </cell>
          <cell r="AI385">
            <v>140.55526139340174</v>
          </cell>
          <cell r="AJ385">
            <v>3</v>
          </cell>
          <cell r="AK385">
            <v>46.851753797800576</v>
          </cell>
        </row>
        <row r="386">
          <cell r="A386" t="str">
            <v>C159</v>
          </cell>
          <cell r="B386" t="str">
            <v>COND</v>
          </cell>
          <cell r="C386" t="str">
            <v>WWOLEII09081700100</v>
          </cell>
          <cell r="D386" t="str">
            <v>VENTANILLA, SANTA ROSA Y MALACAS</v>
          </cell>
          <cell r="E386" t="str">
            <v>PRUEBA FUNCIÓN DETECTOR DE INCENDIOS</v>
          </cell>
          <cell r="F386" t="str">
            <v>EJECUCIÓN DE PRUEBA FUNCIÓNAL SOBRE UN ELEMENTO DETECTOR DE INENDIO COMO SENSORES, BOTONES, SIRENAS Y LUCES</v>
          </cell>
          <cell r="G386" t="str">
            <v>LEII0900</v>
          </cell>
          <cell r="H386" t="str">
            <v>NUM</v>
          </cell>
          <cell r="I386">
            <v>1</v>
          </cell>
          <cell r="J386">
            <v>1</v>
          </cell>
          <cell r="K386">
            <v>3</v>
          </cell>
          <cell r="L386">
            <v>3</v>
          </cell>
          <cell r="M386" t="str">
            <v>NO</v>
          </cell>
          <cell r="N386">
            <v>1</v>
          </cell>
          <cell r="O386">
            <v>1</v>
          </cell>
          <cell r="P386">
            <v>1</v>
          </cell>
          <cell r="Q386">
            <v>3</v>
          </cell>
          <cell r="R386">
            <v>3</v>
          </cell>
          <cell r="S386">
            <v>3</v>
          </cell>
          <cell r="T386">
            <v>140.55526139340174</v>
          </cell>
          <cell r="U386">
            <v>140.55526139340174</v>
          </cell>
          <cell r="V386">
            <v>140.55526139340174</v>
          </cell>
          <cell r="W386">
            <v>421.66578418020521</v>
          </cell>
          <cell r="X386">
            <v>421.66578418020521</v>
          </cell>
          <cell r="Y386">
            <v>843.33156836041042</v>
          </cell>
          <cell r="Z386">
            <v>421.66578418020521</v>
          </cell>
          <cell r="AA386">
            <v>140.55526139340174</v>
          </cell>
          <cell r="AB386">
            <v>22.888226288984878</v>
          </cell>
          <cell r="AC386">
            <v>3</v>
          </cell>
          <cell r="AD386">
            <v>20.741752868618512</v>
          </cell>
          <cell r="AE386">
            <v>33.370700858243907</v>
          </cell>
          <cell r="AF386">
            <v>7.3666279556290224</v>
          </cell>
          <cell r="AG386">
            <v>10.411500843955684</v>
          </cell>
          <cell r="AH386" t="str">
            <v>Instrumentación</v>
          </cell>
          <cell r="AI386">
            <v>140.55526139340174</v>
          </cell>
          <cell r="AJ386">
            <v>3</v>
          </cell>
          <cell r="AK386">
            <v>46.851753797800576</v>
          </cell>
        </row>
        <row r="387">
          <cell r="A387" t="str">
            <v>C188</v>
          </cell>
          <cell r="B387" t="str">
            <v>COND</v>
          </cell>
          <cell r="C387" t="str">
            <v>WWOMMIM01060200300</v>
          </cell>
          <cell r="D387" t="str">
            <v>VENTANILLA, SANTA ROSA Y MALACAS</v>
          </cell>
          <cell r="E387" t="str">
            <v>BOMBA CENTRÍFUGA &lt;10KW: ALINEACIÓN</v>
          </cell>
          <cell r="F387" t="str">
            <v>EJECUCIÓN ALINEACIÓN BOMBA-MOTOR. INCLUYE LA EMISIÓN DEL INFORME CORRESPONDIENTE.</v>
          </cell>
          <cell r="G387" t="str">
            <v>MMIM0100</v>
          </cell>
          <cell r="H387" t="str">
            <v>NUM</v>
          </cell>
          <cell r="I387">
            <v>1</v>
          </cell>
          <cell r="J387">
            <v>4</v>
          </cell>
          <cell r="K387">
            <v>2</v>
          </cell>
          <cell r="L387">
            <v>8</v>
          </cell>
          <cell r="M387" t="str">
            <v>NO</v>
          </cell>
          <cell r="N387">
            <v>4</v>
          </cell>
          <cell r="O387">
            <v>3</v>
          </cell>
          <cell r="P387">
            <v>3</v>
          </cell>
          <cell r="Q387">
            <v>12</v>
          </cell>
          <cell r="R387">
            <v>9</v>
          </cell>
          <cell r="S387">
            <v>9</v>
          </cell>
          <cell r="T387">
            <v>359.38152753390028</v>
          </cell>
          <cell r="U387">
            <v>359.38152753390028</v>
          </cell>
          <cell r="V387">
            <v>359.38152753390028</v>
          </cell>
          <cell r="W387">
            <v>4312.5783304068036</v>
          </cell>
          <cell r="X387">
            <v>3234.4337478051025</v>
          </cell>
          <cell r="Y387">
            <v>7547.0120782119066</v>
          </cell>
          <cell r="Z387">
            <v>3234.4337478051025</v>
          </cell>
          <cell r="AA387">
            <v>359.38152753390028</v>
          </cell>
          <cell r="AB387">
            <v>20.776439546856693</v>
          </cell>
          <cell r="AC387">
            <v>8</v>
          </cell>
          <cell r="AD387">
            <v>56.619867691888167</v>
          </cell>
          <cell r="AE387">
            <v>91.093779746937756</v>
          </cell>
          <cell r="AF387">
            <v>18.835509828820769</v>
          </cell>
          <cell r="AG387">
            <v>26.620853891400021</v>
          </cell>
          <cell r="AH387" t="str">
            <v>Mecánica</v>
          </cell>
          <cell r="AI387">
            <v>359.38152753390028</v>
          </cell>
          <cell r="AJ387">
            <v>8</v>
          </cell>
          <cell r="AK387">
            <v>44.922690941737535</v>
          </cell>
        </row>
        <row r="388">
          <cell r="A388" t="str">
            <v>C193</v>
          </cell>
          <cell r="B388" t="str">
            <v>COND</v>
          </cell>
          <cell r="C388" t="str">
            <v>WWOMMIM01060201500</v>
          </cell>
          <cell r="D388" t="str">
            <v>VENTANILLA, SANTA ROSA Y MALACAS</v>
          </cell>
          <cell r="E388" t="str">
            <v>BOMBA CENTRÍFUGA &gt;50&lt;130 KW: ALINEACIÓN</v>
          </cell>
          <cell r="F388" t="str">
            <v>EJECUCIÓN ALINEACIÓN BOMBA-MOTOR. INCLUYE LA EMISIÓN DEL INFORME CORRESPONDIENTE.</v>
          </cell>
          <cell r="G388" t="str">
            <v>MMIM0100</v>
          </cell>
          <cell r="H388" t="str">
            <v>NUM</v>
          </cell>
          <cell r="I388">
            <v>1</v>
          </cell>
          <cell r="J388">
            <v>4</v>
          </cell>
          <cell r="K388">
            <v>2</v>
          </cell>
          <cell r="L388">
            <v>8</v>
          </cell>
          <cell r="M388" t="str">
            <v>NO</v>
          </cell>
          <cell r="N388">
            <v>4</v>
          </cell>
          <cell r="O388">
            <v>3</v>
          </cell>
          <cell r="P388">
            <v>3</v>
          </cell>
          <cell r="Q388">
            <v>12</v>
          </cell>
          <cell r="R388">
            <v>9</v>
          </cell>
          <cell r="S388">
            <v>9</v>
          </cell>
          <cell r="T388">
            <v>359.38152753390051</v>
          </cell>
          <cell r="U388">
            <v>359.38152753390051</v>
          </cell>
          <cell r="V388">
            <v>359.38152753390051</v>
          </cell>
          <cell r="W388">
            <v>4312.5783304068063</v>
          </cell>
          <cell r="X388">
            <v>3234.4337478051048</v>
          </cell>
          <cell r="Y388">
            <v>7547.0120782119111</v>
          </cell>
          <cell r="Z388">
            <v>3234.4337478051048</v>
          </cell>
          <cell r="AA388">
            <v>359.38152753390051</v>
          </cell>
          <cell r="AB388">
            <v>20.776439546856693</v>
          </cell>
          <cell r="AC388">
            <v>8</v>
          </cell>
          <cell r="AD388">
            <v>56.61986769188826</v>
          </cell>
          <cell r="AE388">
            <v>91.093779746937898</v>
          </cell>
          <cell r="AF388">
            <v>18.835509828820783</v>
          </cell>
          <cell r="AG388">
            <v>26.620853891400039</v>
          </cell>
          <cell r="AH388" t="str">
            <v>Mecánica</v>
          </cell>
          <cell r="AI388">
            <v>359.38152753390051</v>
          </cell>
          <cell r="AJ388">
            <v>8</v>
          </cell>
          <cell r="AK388">
            <v>44.922690941737564</v>
          </cell>
        </row>
        <row r="389">
          <cell r="A389" t="str">
            <v>C199</v>
          </cell>
          <cell r="B389" t="str">
            <v>COND</v>
          </cell>
          <cell r="C389" t="str">
            <v>WWOMMIM01060200900</v>
          </cell>
          <cell r="D389" t="str">
            <v>VENTANILLA, SANTA ROSA Y MALACAS</v>
          </cell>
          <cell r="E389" t="str">
            <v>BOMBA CENTRÍFUGA&gt;10KWY&lt;50KW: ALINEACIÓN</v>
          </cell>
          <cell r="F389" t="str">
            <v>EJECUCIÓN ALINEACIÓN BOMBA-MOTOR. INCLUYE LA EMISIÓN DEL INFORME CORRESPONDIENTE.</v>
          </cell>
          <cell r="G389" t="str">
            <v>MMIM0100</v>
          </cell>
          <cell r="H389" t="str">
            <v>NUM</v>
          </cell>
          <cell r="I389">
            <v>1</v>
          </cell>
          <cell r="J389">
            <v>5</v>
          </cell>
          <cell r="K389">
            <v>2</v>
          </cell>
          <cell r="L389">
            <v>10</v>
          </cell>
          <cell r="M389" t="str">
            <v>NO</v>
          </cell>
          <cell r="N389">
            <v>4</v>
          </cell>
          <cell r="O389">
            <v>3</v>
          </cell>
          <cell r="P389">
            <v>3</v>
          </cell>
          <cell r="Q389">
            <v>12</v>
          </cell>
          <cell r="R389">
            <v>9</v>
          </cell>
          <cell r="S389">
            <v>9</v>
          </cell>
          <cell r="T389">
            <v>449.22690941737505</v>
          </cell>
          <cell r="U389">
            <v>449.22690941737505</v>
          </cell>
          <cell r="V389">
            <v>449.22690941737505</v>
          </cell>
          <cell r="W389">
            <v>5390.7229130085007</v>
          </cell>
          <cell r="X389">
            <v>4043.0421847563757</v>
          </cell>
          <cell r="Y389">
            <v>9433.7650977648773</v>
          </cell>
          <cell r="Z389">
            <v>4043.0421847563757</v>
          </cell>
          <cell r="AA389">
            <v>449.22690941737505</v>
          </cell>
          <cell r="AB389">
            <v>20.776439546856693</v>
          </cell>
          <cell r="AC389">
            <v>10</v>
          </cell>
          <cell r="AD389">
            <v>70.774834614860126</v>
          </cell>
          <cell r="AE389">
            <v>113.86722468367203</v>
          </cell>
          <cell r="AF389">
            <v>23.544387286025945</v>
          </cell>
          <cell r="AG389">
            <v>33.276067364250004</v>
          </cell>
          <cell r="AH389" t="str">
            <v>Mecánica</v>
          </cell>
          <cell r="AI389">
            <v>449.22690941737505</v>
          </cell>
          <cell r="AJ389">
            <v>10</v>
          </cell>
          <cell r="AK389">
            <v>44.922690941737507</v>
          </cell>
        </row>
        <row r="390">
          <cell r="A390" t="str">
            <v>C200</v>
          </cell>
          <cell r="B390" t="str">
            <v>COND</v>
          </cell>
          <cell r="C390" t="str">
            <v>WWOMMIM01060202100</v>
          </cell>
          <cell r="D390" t="str">
            <v>VENTANILLA, SANTA ROSA Y MALACAS</v>
          </cell>
          <cell r="E390" t="str">
            <v>BOMBA CENTRÍFUGA&gt;130&lt;250KW: ALINEACIÓN</v>
          </cell>
          <cell r="F390" t="str">
            <v>EJECUCIÓN ALINEACIÓN BOMBA-MOTOR. INCLUYE LA EMISIÓN DEL INFORME CORRESPONDIENTE.</v>
          </cell>
          <cell r="G390" t="str">
            <v>MMIM0100</v>
          </cell>
          <cell r="H390" t="str">
            <v>NUM</v>
          </cell>
          <cell r="I390">
            <v>1</v>
          </cell>
          <cell r="J390">
            <v>4</v>
          </cell>
          <cell r="K390">
            <v>3</v>
          </cell>
          <cell r="L390">
            <v>12</v>
          </cell>
          <cell r="M390" t="str">
            <v>SI</v>
          </cell>
          <cell r="N390">
            <v>4</v>
          </cell>
          <cell r="O390">
            <v>3</v>
          </cell>
          <cell r="P390">
            <v>3</v>
          </cell>
          <cell r="Q390">
            <v>12</v>
          </cell>
          <cell r="R390">
            <v>9</v>
          </cell>
          <cell r="S390">
            <v>9</v>
          </cell>
          <cell r="T390">
            <v>549.05691745661261</v>
          </cell>
          <cell r="U390">
            <v>549.05691745661261</v>
          </cell>
          <cell r="V390">
            <v>549.05691745661261</v>
          </cell>
          <cell r="W390">
            <v>6588.6830094793513</v>
          </cell>
          <cell r="X390">
            <v>4941.5122571095135</v>
          </cell>
          <cell r="Y390">
            <v>11530.195266588864</v>
          </cell>
          <cell r="Z390">
            <v>4941.5122571095135</v>
          </cell>
          <cell r="AA390">
            <v>549.05691745661261</v>
          </cell>
          <cell r="AB390">
            <v>21.533127692412709</v>
          </cell>
          <cell r="AC390">
            <v>12</v>
          </cell>
          <cell r="AD390">
            <v>84.792371410428728</v>
          </cell>
          <cell r="AE390">
            <v>136.41956296179669</v>
          </cell>
          <cell r="AF390">
            <v>28.776568000870679</v>
          </cell>
          <cell r="AG390">
            <v>40.670882774563893</v>
          </cell>
          <cell r="AH390" t="str">
            <v>Mecánica</v>
          </cell>
          <cell r="AI390">
            <v>549.05691745661261</v>
          </cell>
          <cell r="AJ390">
            <v>12</v>
          </cell>
          <cell r="AK390">
            <v>45.754743121384386</v>
          </cell>
        </row>
        <row r="391">
          <cell r="A391" t="str">
            <v>C202</v>
          </cell>
          <cell r="B391" t="str">
            <v>COND</v>
          </cell>
          <cell r="C391" t="str">
            <v>WWOMMIM01060202700</v>
          </cell>
          <cell r="D391" t="str">
            <v>VENTANILLA, SANTA ROSA Y MALACAS</v>
          </cell>
          <cell r="E391" t="str">
            <v>BOMBA CENTRÍFUGA&gt;250KW: ALINEACIÓN</v>
          </cell>
          <cell r="F391" t="str">
            <v>EJECUCIÓN ALINEACIÓN BOMBA-MOTOR. INCLUYE LA EMISIÓN DEL INFORME CORRESPONDIENTE.</v>
          </cell>
          <cell r="G391" t="str">
            <v>MMIM0100</v>
          </cell>
          <cell r="H391" t="str">
            <v>NUM</v>
          </cell>
          <cell r="I391">
            <v>1</v>
          </cell>
          <cell r="J391">
            <v>5</v>
          </cell>
          <cell r="K391">
            <v>3</v>
          </cell>
          <cell r="L391">
            <v>15</v>
          </cell>
          <cell r="M391" t="str">
            <v>SI</v>
          </cell>
          <cell r="N391">
            <v>4</v>
          </cell>
          <cell r="O391">
            <v>3</v>
          </cell>
          <cell r="P391">
            <v>3</v>
          </cell>
          <cell r="Q391">
            <v>12</v>
          </cell>
          <cell r="R391">
            <v>9</v>
          </cell>
          <cell r="S391">
            <v>9</v>
          </cell>
          <cell r="T391">
            <v>686.32114682076588</v>
          </cell>
          <cell r="U391">
            <v>686.32114682076588</v>
          </cell>
          <cell r="V391">
            <v>686.32114682076588</v>
          </cell>
          <cell r="W391">
            <v>8235.8537618491901</v>
          </cell>
          <cell r="X391">
            <v>6176.8903213868925</v>
          </cell>
          <cell r="Y391">
            <v>14412.744083236083</v>
          </cell>
          <cell r="Z391">
            <v>6176.8903213868925</v>
          </cell>
          <cell r="AA391">
            <v>686.32114682076588</v>
          </cell>
          <cell r="AB391">
            <v>21.533127692412712</v>
          </cell>
          <cell r="AC391">
            <v>15</v>
          </cell>
          <cell r="AD391">
            <v>105.99046426303599</v>
          </cell>
          <cell r="AE391">
            <v>170.52445370224598</v>
          </cell>
          <cell r="AF391">
            <v>35.970710001088356</v>
          </cell>
          <cell r="AG391">
            <v>50.838603468204887</v>
          </cell>
          <cell r="AH391" t="str">
            <v>Mecánica</v>
          </cell>
          <cell r="AI391">
            <v>686.32114682076588</v>
          </cell>
          <cell r="AJ391">
            <v>15</v>
          </cell>
          <cell r="AK391">
            <v>45.754743121384394</v>
          </cell>
        </row>
        <row r="392">
          <cell r="A392" t="str">
            <v>C095</v>
          </cell>
          <cell r="B392" t="str">
            <v>COND</v>
          </cell>
          <cell r="C392" t="str">
            <v>WWOLEII09080705800</v>
          </cell>
          <cell r="D392" t="str">
            <v>VENTANILLA, SANTA ROSA Y MALACAS</v>
          </cell>
          <cell r="E392" t="str">
            <v>DESMONTAJE BANDEJAS/TUBERIAS PORTACABLES</v>
          </cell>
          <cell r="F392" t="str">
            <v>DESMONTAR TUBERIAS (FLEXIBLES O RIGIDOS) O BANDEJAS PORTACABLES, DESMONTAR SOPORTERIA, TRANSPORTE DEL MATERIAL HASTA EL PUNTO INDICADO.</v>
          </cell>
          <cell r="G392" t="str">
            <v>LEII0900</v>
          </cell>
          <cell r="H392" t="str">
            <v>KG</v>
          </cell>
          <cell r="I392">
            <v>1</v>
          </cell>
          <cell r="J392">
            <v>2.5</v>
          </cell>
          <cell r="K392">
            <v>2</v>
          </cell>
          <cell r="L392">
            <v>5</v>
          </cell>
          <cell r="M392" t="str">
            <v>SI</v>
          </cell>
          <cell r="N392">
            <v>4</v>
          </cell>
          <cell r="O392">
            <v>3</v>
          </cell>
          <cell r="P392">
            <v>3</v>
          </cell>
          <cell r="Q392">
            <v>12</v>
          </cell>
          <cell r="R392">
            <v>9</v>
          </cell>
          <cell r="S392">
            <v>9</v>
          </cell>
          <cell r="T392">
            <v>239.74053527151236</v>
          </cell>
          <cell r="U392">
            <v>239.74053527151236</v>
          </cell>
          <cell r="V392">
            <v>239.74053527151236</v>
          </cell>
          <cell r="W392">
            <v>2876.8864232581482</v>
          </cell>
          <cell r="X392">
            <v>2157.6648174436114</v>
          </cell>
          <cell r="Y392">
            <v>5034.5512407017595</v>
          </cell>
          <cell r="Z392">
            <v>2157.6648174436114</v>
          </cell>
          <cell r="AA392">
            <v>239.74053527151236</v>
          </cell>
          <cell r="AB392">
            <v>19.160296713371157</v>
          </cell>
          <cell r="AC392">
            <v>5</v>
          </cell>
          <cell r="AD392">
            <v>43.549755411231111</v>
          </cell>
          <cell r="AE392">
            <v>70.065720553283072</v>
          </cell>
          <cell r="AF392">
            <v>12.565017571882198</v>
          </cell>
          <cell r="AG392">
            <v>17.758558168260176</v>
          </cell>
          <cell r="AH392" t="str">
            <v>Electricidad</v>
          </cell>
          <cell r="AI392">
            <v>239.74053527151236</v>
          </cell>
          <cell r="AJ392">
            <v>5</v>
          </cell>
          <cell r="AK392">
            <v>47.948107054302469</v>
          </cell>
        </row>
        <row r="393">
          <cell r="A393" t="str">
            <v>C094</v>
          </cell>
          <cell r="B393" t="str">
            <v>COND</v>
          </cell>
          <cell r="C393" t="str">
            <v>WWOLEII09080706000</v>
          </cell>
          <cell r="D393" t="str">
            <v>VENTANILLA, SANTA ROSA Y MALACAS</v>
          </cell>
          <cell r="E393" t="str">
            <v>DESM COMPONENTES INTERN ARMARIO ELECTR</v>
          </cell>
          <cell r="F393" t="str">
            <v>DESMONTAR CUALQUIER TIPO DE COMPENENTE ELECTRICO DENTRO DEL ARMARIO POR UNA MODIFICACIÓN O ACTUALIZACIÓN DEL MISMO, INCLUYE LA DESCONEXIÓN, NO INCLUYE LA REFORMA DE LOS SOPORTES.</v>
          </cell>
          <cell r="G393" t="str">
            <v>LEII0900</v>
          </cell>
          <cell r="H393" t="str">
            <v>NUM</v>
          </cell>
          <cell r="I393">
            <v>1</v>
          </cell>
          <cell r="J393">
            <v>1</v>
          </cell>
          <cell r="K393">
            <v>2</v>
          </cell>
          <cell r="L393">
            <v>2</v>
          </cell>
          <cell r="M393" t="str">
            <v>NO</v>
          </cell>
          <cell r="N393">
            <v>4</v>
          </cell>
          <cell r="O393">
            <v>3</v>
          </cell>
          <cell r="P393">
            <v>3</v>
          </cell>
          <cell r="Q393">
            <v>12</v>
          </cell>
          <cell r="R393">
            <v>9</v>
          </cell>
          <cell r="S393">
            <v>9</v>
          </cell>
          <cell r="T393">
            <v>96.224337159304767</v>
          </cell>
          <cell r="U393">
            <v>96.224337159304767</v>
          </cell>
          <cell r="V393">
            <v>96.224337159304767</v>
          </cell>
          <cell r="W393">
            <v>1154.6920459116573</v>
          </cell>
          <cell r="X393">
            <v>866.01903443374295</v>
          </cell>
          <cell r="Y393">
            <v>2020.7110803454002</v>
          </cell>
          <cell r="Z393">
            <v>866.01903443374295</v>
          </cell>
          <cell r="AA393">
            <v>96.224337159304767</v>
          </cell>
          <cell r="AB393">
            <v>23.057832511738386</v>
          </cell>
          <cell r="AC393">
            <v>2</v>
          </cell>
          <cell r="AD393">
            <v>14.541850475488797</v>
          </cell>
          <cell r="AE393">
            <v>23.395888728239857</v>
          </cell>
          <cell r="AF393">
            <v>5.0432042536323252</v>
          </cell>
          <cell r="AG393">
            <v>7.1277286784670197</v>
          </cell>
          <cell r="AH393" t="str">
            <v>Electricidad</v>
          </cell>
          <cell r="AI393">
            <v>96.224337159304767</v>
          </cell>
          <cell r="AJ393">
            <v>2</v>
          </cell>
          <cell r="AK393">
            <v>48.112168579652383</v>
          </cell>
        </row>
        <row r="394">
          <cell r="A394" t="str">
            <v>C096</v>
          </cell>
          <cell r="B394" t="str">
            <v>COND</v>
          </cell>
          <cell r="C394" t="str">
            <v>WWOLEII09080705900</v>
          </cell>
          <cell r="D394" t="str">
            <v>VENTANILLA, SANTA ROSA Y MALACAS</v>
          </cell>
          <cell r="E394" t="str">
            <v>DESMONTAJE DE ARMARIO ELECTRICO</v>
          </cell>
          <cell r="F394" t="str">
            <v>DESMONTAR CUALQUIER TIPO DE ARMARIO (SOPORTADO EN PARED O PISO), DESMONTAR SOPORTERIA, TRANSPORTE DEL MATERIAL HASTA EL PUNTO INDICADO.</v>
          </cell>
          <cell r="G394" t="str">
            <v>LEII0900</v>
          </cell>
          <cell r="H394" t="str">
            <v>M3</v>
          </cell>
          <cell r="I394">
            <v>1</v>
          </cell>
          <cell r="J394">
            <v>2</v>
          </cell>
          <cell r="K394">
            <v>2</v>
          </cell>
          <cell r="L394">
            <v>4</v>
          </cell>
          <cell r="M394" t="str">
            <v>NO</v>
          </cell>
          <cell r="N394">
            <v>4</v>
          </cell>
          <cell r="O394">
            <v>3</v>
          </cell>
          <cell r="P394">
            <v>3</v>
          </cell>
          <cell r="Q394">
            <v>12</v>
          </cell>
          <cell r="R394">
            <v>9</v>
          </cell>
          <cell r="S394">
            <v>9</v>
          </cell>
          <cell r="T394">
            <v>192.44867431860959</v>
          </cell>
          <cell r="U394">
            <v>192.44867431860959</v>
          </cell>
          <cell r="V394">
            <v>192.44867431860959</v>
          </cell>
          <cell r="W394">
            <v>2309.384091823315</v>
          </cell>
          <cell r="X394">
            <v>1732.0380688674863</v>
          </cell>
          <cell r="Y394">
            <v>4041.4221606908013</v>
          </cell>
          <cell r="Z394">
            <v>1732.0380688674863</v>
          </cell>
          <cell r="AA394">
            <v>192.44867431860959</v>
          </cell>
          <cell r="AB394">
            <v>23.057832511738386</v>
          </cell>
          <cell r="AC394">
            <v>4</v>
          </cell>
          <cell r="AD394">
            <v>29.083700950977605</v>
          </cell>
          <cell r="AE394">
            <v>46.791777456479736</v>
          </cell>
          <cell r="AF394">
            <v>10.086408507264654</v>
          </cell>
          <cell r="AG394">
            <v>14.255457356934045</v>
          </cell>
          <cell r="AH394" t="str">
            <v>Electricidad</v>
          </cell>
          <cell r="AI394">
            <v>192.44867431860959</v>
          </cell>
          <cell r="AJ394">
            <v>4</v>
          </cell>
          <cell r="AK394">
            <v>48.112168579652398</v>
          </cell>
        </row>
        <row r="395">
          <cell r="A395" t="str">
            <v>C280</v>
          </cell>
          <cell r="B395" t="str">
            <v>COND</v>
          </cell>
          <cell r="C395" t="str">
            <v>WWOMMIM01060700800</v>
          </cell>
          <cell r="D395" t="str">
            <v>VENTANILLA, SANTA ROSA Y MALACAS</v>
          </cell>
          <cell r="E395" t="str">
            <v>SUSTITUCIÓN VÁLVULA VENTEO TG</v>
          </cell>
          <cell r="F395" t="str">
            <v>DESMONTAJE, SUSTITUCIÓN Y POSTERIOR MONTAJE DE UNA VÁLVULA DE VENTEO DE TURBINA DE GAS. SE INCLUYEN EN EL ALCANCE EL DESMONTAJE Y MONTAJE DE TUBING Y CONDUITS NECESARIO PARA ACCESO A LA VÁLVULA.</v>
          </cell>
          <cell r="G395" t="str">
            <v>MMIM0100</v>
          </cell>
          <cell r="H395" t="str">
            <v>NUM</v>
          </cell>
          <cell r="I395">
            <v>1</v>
          </cell>
          <cell r="J395">
            <v>10</v>
          </cell>
          <cell r="K395">
            <v>3</v>
          </cell>
          <cell r="L395">
            <v>30</v>
          </cell>
          <cell r="M395" t="str">
            <v>SI</v>
          </cell>
          <cell r="N395">
            <v>4</v>
          </cell>
          <cell r="O395">
            <v>3</v>
          </cell>
          <cell r="P395">
            <v>3</v>
          </cell>
          <cell r="Q395">
            <v>12</v>
          </cell>
          <cell r="R395">
            <v>9</v>
          </cell>
          <cell r="S395">
            <v>9</v>
          </cell>
          <cell r="T395">
            <v>1372.6422936415308</v>
          </cell>
          <cell r="U395">
            <v>1372.6422936415308</v>
          </cell>
          <cell r="V395">
            <v>1372.6422936415308</v>
          </cell>
          <cell r="W395">
            <v>16471.707523698369</v>
          </cell>
          <cell r="X395">
            <v>12353.780642773778</v>
          </cell>
          <cell r="Y395">
            <v>28825.488166472147</v>
          </cell>
          <cell r="Z395">
            <v>12353.780642773778</v>
          </cell>
          <cell r="AA395">
            <v>1372.6422936415308</v>
          </cell>
          <cell r="AB395">
            <v>21.533127692412712</v>
          </cell>
          <cell r="AC395">
            <v>30</v>
          </cell>
          <cell r="AD395">
            <v>211.98092852607172</v>
          </cell>
          <cell r="AE395">
            <v>341.0489074044915</v>
          </cell>
          <cell r="AF395">
            <v>71.941420002176656</v>
          </cell>
          <cell r="AG395">
            <v>101.67720693640969</v>
          </cell>
          <cell r="AH395" t="str">
            <v>Mecánica</v>
          </cell>
          <cell r="AI395">
            <v>1372.6422936415308</v>
          </cell>
          <cell r="AJ395">
            <v>30</v>
          </cell>
          <cell r="AK395">
            <v>45.754743121384358</v>
          </cell>
        </row>
        <row r="396">
          <cell r="A396" t="str">
            <v>C279</v>
          </cell>
          <cell r="B396" t="str">
            <v>COND</v>
          </cell>
          <cell r="C396" t="str">
            <v>WWOMMIM01060700700</v>
          </cell>
          <cell r="D396" t="str">
            <v>VENTANILLA, SANTA ROSA Y MALACAS</v>
          </cell>
          <cell r="E396" t="str">
            <v>SUSTITUCIÓN VÁLVULA PURGA</v>
          </cell>
          <cell r="F396" t="str">
            <v>DESMONTAJE, SUSTITUCIÓN Y POSTERIOR MONTAJE DE UNA VÁLVULA DE PURGA DE TURBINA DE GAS. SE INCLUYEN EN EL ALCANCE EL DESMONTAJE Y MONTAJE DE TUBING Y CONDUITS NECESARIO PARA ACCESO A LA VÁLVULA.</v>
          </cell>
          <cell r="G396" t="str">
            <v>MMIM0100</v>
          </cell>
          <cell r="H396" t="str">
            <v>NUM</v>
          </cell>
          <cell r="I396">
            <v>1</v>
          </cell>
          <cell r="J396">
            <v>5</v>
          </cell>
          <cell r="K396">
            <v>2</v>
          </cell>
          <cell r="L396">
            <v>10</v>
          </cell>
          <cell r="M396" t="str">
            <v>NO</v>
          </cell>
          <cell r="N396">
            <v>4</v>
          </cell>
          <cell r="O396">
            <v>3</v>
          </cell>
          <cell r="P396">
            <v>3</v>
          </cell>
          <cell r="Q396">
            <v>12</v>
          </cell>
          <cell r="R396">
            <v>9</v>
          </cell>
          <cell r="S396">
            <v>9</v>
          </cell>
          <cell r="T396">
            <v>449.22690941737528</v>
          </cell>
          <cell r="U396">
            <v>449.22690941737528</v>
          </cell>
          <cell r="V396">
            <v>449.22690941737528</v>
          </cell>
          <cell r="W396">
            <v>5390.7229130085034</v>
          </cell>
          <cell r="X396">
            <v>4043.0421847563775</v>
          </cell>
          <cell r="Y396">
            <v>9433.7650977648809</v>
          </cell>
          <cell r="Z396">
            <v>4043.0421847563775</v>
          </cell>
          <cell r="AA396">
            <v>449.22690941737528</v>
          </cell>
          <cell r="AB396">
            <v>20.776439546856693</v>
          </cell>
          <cell r="AC396">
            <v>10</v>
          </cell>
          <cell r="AD396">
            <v>70.774834614860211</v>
          </cell>
          <cell r="AE396">
            <v>113.86722468367218</v>
          </cell>
          <cell r="AF396">
            <v>23.544387286025959</v>
          </cell>
          <cell r="AG396">
            <v>33.276067364250018</v>
          </cell>
          <cell r="AH396" t="str">
            <v>Mecánica</v>
          </cell>
          <cell r="AI396">
            <v>449.22690941737528</v>
          </cell>
          <cell r="AJ396">
            <v>10</v>
          </cell>
          <cell r="AK396">
            <v>44.922690941737528</v>
          </cell>
        </row>
        <row r="397">
          <cell r="A397" t="str">
            <v>C278</v>
          </cell>
          <cell r="B397" t="str">
            <v>COND</v>
          </cell>
          <cell r="C397" t="str">
            <v>WWOMMIM01060701100</v>
          </cell>
          <cell r="D397" t="str">
            <v>VENTANILLA, SANTA ROSA Y MALACAS</v>
          </cell>
          <cell r="E397" t="str">
            <v>SUSTITUCIÓN SERVOS VALV HIDRÁULICAS</v>
          </cell>
          <cell r="F397" t="str">
            <v>DESMONTAJE, SUSTITUCIÓN Y POSTERIOR MONTAJE DE UN SERVO DE VÁLVULA HIDRÁULICA. DE TURBINA DE GAS O TURBINA DE VAPOR. SE INCLUYEN EN EL ALCANCE EL DESMONTAJE DE TUBING Y CONDUITS NECESARIO PARA ACCESO A LA VÁLVULA Y LA PUESTA EN SERVICIO Y CALIBRACIÓN DEL EQUIPO TRAS SU MONTAJE.</v>
          </cell>
          <cell r="G397" t="str">
            <v>MMIM0100</v>
          </cell>
          <cell r="H397" t="str">
            <v>NUM</v>
          </cell>
          <cell r="I397">
            <v>1</v>
          </cell>
          <cell r="J397">
            <v>5</v>
          </cell>
          <cell r="K397">
            <v>3</v>
          </cell>
          <cell r="L397">
            <v>15</v>
          </cell>
          <cell r="M397" t="str">
            <v>SI</v>
          </cell>
          <cell r="N397">
            <v>4</v>
          </cell>
          <cell r="O397">
            <v>3</v>
          </cell>
          <cell r="P397">
            <v>3</v>
          </cell>
          <cell r="Q397">
            <v>12</v>
          </cell>
          <cell r="R397">
            <v>9</v>
          </cell>
          <cell r="S397">
            <v>9</v>
          </cell>
          <cell r="T397">
            <v>686.32114682076531</v>
          </cell>
          <cell r="U397">
            <v>686.32114682076531</v>
          </cell>
          <cell r="V397">
            <v>686.32114682076531</v>
          </cell>
          <cell r="W397">
            <v>8235.8537618491828</v>
          </cell>
          <cell r="X397">
            <v>6176.890321386888</v>
          </cell>
          <cell r="Y397">
            <v>14412.74408323607</v>
          </cell>
          <cell r="Z397">
            <v>6176.890321386888</v>
          </cell>
          <cell r="AA397">
            <v>686.32114682076531</v>
          </cell>
          <cell r="AB397">
            <v>21.533127692412712</v>
          </cell>
          <cell r="AC397">
            <v>15</v>
          </cell>
          <cell r="AD397">
            <v>105.99046426303576</v>
          </cell>
          <cell r="AE397">
            <v>170.52445370224561</v>
          </cell>
          <cell r="AF397">
            <v>35.970710001088321</v>
          </cell>
          <cell r="AG397">
            <v>50.838603468204838</v>
          </cell>
          <cell r="AH397" t="str">
            <v>Mecánica</v>
          </cell>
          <cell r="AI397">
            <v>686.32114682076531</v>
          </cell>
          <cell r="AJ397">
            <v>15</v>
          </cell>
          <cell r="AK397">
            <v>45.754743121384351</v>
          </cell>
        </row>
        <row r="398">
          <cell r="A398" t="str">
            <v>P052</v>
          </cell>
          <cell r="B398" t="str">
            <v>PREV</v>
          </cell>
          <cell r="C398" t="str">
            <v>WWOMMIM01060403100</v>
          </cell>
          <cell r="D398" t="str">
            <v>SANTA ROSA Y MALACAS</v>
          </cell>
          <cell r="E398" t="str">
            <v>REVISIÓN VÁLVULA SEGURIDAD D&lt;=2IN</v>
          </cell>
          <cell r="F398" t="str">
            <v xml:space="preserve">DESMONTAJE, LIMPIEZA, RESTAURACIÓN DE LAS SUPERFICIES DE SELLADO. LAPEADO Y/O REEMPLAZO DE COMPONENTES DAÑADOS. SUMINISTRO Y MONTAJE CONSTRUCCIÓN DE GUARNICIÓNES. INSPECCIÓN POR LÍQUIDOS PENETRANTES DE ASIENTOS . MONTAJE. COMPROBACIÓN DEL VALOR DE CALIBRADO SOBRE BANCO </v>
          </cell>
          <cell r="G398" t="str">
            <v>MMIM0106</v>
          </cell>
          <cell r="H398" t="str">
            <v>NUM</v>
          </cell>
          <cell r="I398">
            <v>1</v>
          </cell>
          <cell r="J398">
            <v>2</v>
          </cell>
          <cell r="K398">
            <v>2</v>
          </cell>
          <cell r="L398">
            <v>4</v>
          </cell>
          <cell r="M398" t="str">
            <v>NO</v>
          </cell>
          <cell r="N398">
            <v>0</v>
          </cell>
          <cell r="O398">
            <v>15</v>
          </cell>
          <cell r="P398">
            <v>88</v>
          </cell>
          <cell r="Q398">
            <v>0</v>
          </cell>
          <cell r="R398">
            <v>45</v>
          </cell>
          <cell r="S398">
            <v>264</v>
          </cell>
          <cell r="T398"/>
          <cell r="U398">
            <v>202.69047566463183</v>
          </cell>
          <cell r="V398">
            <v>202.69047566463183</v>
          </cell>
          <cell r="W398">
            <v>0</v>
          </cell>
          <cell r="X398">
            <v>9121.0714049084327</v>
          </cell>
          <cell r="Y398">
            <v>9121.0714049084327</v>
          </cell>
          <cell r="Z398">
            <v>53510.285575462804</v>
          </cell>
          <cell r="AA398">
            <v>202.69047566463183</v>
          </cell>
          <cell r="AB398">
            <v>24.651405043854062</v>
          </cell>
          <cell r="AC398">
            <v>4</v>
          </cell>
          <cell r="AD398">
            <v>27.896519284276913</v>
          </cell>
          <cell r="AE398">
            <v>50.551036347986638</v>
          </cell>
          <cell r="AF398">
            <v>10.623190548460787</v>
          </cell>
          <cell r="AG398">
            <v>15.014109308491248</v>
          </cell>
          <cell r="AH398" t="str">
            <v>Mecánica</v>
          </cell>
          <cell r="AI398">
            <v>202.69047566463183</v>
          </cell>
          <cell r="AJ398">
            <v>4</v>
          </cell>
          <cell r="AK398">
            <v>50.672618916157958</v>
          </cell>
        </row>
        <row r="399">
          <cell r="A399" t="str">
            <v>P053</v>
          </cell>
          <cell r="B399" t="str">
            <v>PREV</v>
          </cell>
          <cell r="C399" t="str">
            <v>WWOMMIM01060403200</v>
          </cell>
          <cell r="D399" t="str">
            <v>MALACAS</v>
          </cell>
          <cell r="E399" t="str">
            <v>REVISIÓN VÁLVULA SEGURIDAD D&gt;2&lt;=4 IN</v>
          </cell>
          <cell r="F399" t="str">
            <v xml:space="preserve">DESMONTAJE, LIMPIEZA, RESTAURACIÓN DE LAS SUPERFICIES DE SELLADO. LAPEADO Y/O REEMPLAZO DE COMPONENTES DAÑADOS. SUMINISTRO Y MONTAJE CONSTRUCCIÓN DE GUARNICIÓNES. INSPECCIÓN POR LÍQUIDOS PENETRANTES DE ASIENTOS . MONTAJE. COMPROBACIÓN DEL VALOR DE CALIBRADO SOBRE BANCO </v>
          </cell>
          <cell r="G399" t="str">
            <v>MMIM0106</v>
          </cell>
          <cell r="H399" t="str">
            <v>NUM</v>
          </cell>
          <cell r="I399">
            <v>1</v>
          </cell>
          <cell r="J399">
            <v>3</v>
          </cell>
          <cell r="K399">
            <v>2</v>
          </cell>
          <cell r="L399">
            <v>6</v>
          </cell>
          <cell r="M399" t="str">
            <v>NO</v>
          </cell>
          <cell r="N399">
            <v>0</v>
          </cell>
          <cell r="O399">
            <v>0</v>
          </cell>
          <cell r="P399">
            <v>8</v>
          </cell>
          <cell r="Q399">
            <v>0</v>
          </cell>
          <cell r="R399">
            <v>0</v>
          </cell>
          <cell r="S399">
            <v>24</v>
          </cell>
          <cell r="T399"/>
          <cell r="U399"/>
          <cell r="V399">
            <v>279.817028081025</v>
          </cell>
          <cell r="W399">
            <v>0</v>
          </cell>
          <cell r="X399">
            <v>0</v>
          </cell>
          <cell r="Y399">
            <v>0</v>
          </cell>
          <cell r="Z399">
            <v>6715.6086739446</v>
          </cell>
          <cell r="AA399">
            <v>279.817028081025</v>
          </cell>
          <cell r="AB399">
            <v>22.511057789164699</v>
          </cell>
          <cell r="AC399">
            <v>6</v>
          </cell>
          <cell r="AD399">
            <v>43.496960281899788</v>
          </cell>
          <cell r="AE399">
            <v>65.861071111191123</v>
          </cell>
          <cell r="AF399">
            <v>14.665462687684746</v>
          </cell>
          <cell r="AG399">
            <v>20.727187265261108</v>
          </cell>
          <cell r="AH399" t="str">
            <v>Mecánica</v>
          </cell>
          <cell r="AI399">
            <v>279.817028081025</v>
          </cell>
          <cell r="AJ399">
            <v>6</v>
          </cell>
          <cell r="AK399">
            <v>46.6361713468375</v>
          </cell>
        </row>
        <row r="400">
          <cell r="A400" t="str">
            <v>P054</v>
          </cell>
          <cell r="B400" t="str">
            <v>PREV</v>
          </cell>
          <cell r="C400" t="str">
            <v>WWOMMIM01060403300</v>
          </cell>
          <cell r="D400" t="str">
            <v>MALACAS</v>
          </cell>
          <cell r="E400" t="str">
            <v>REVISIÓN VÁLVULA SEGURIDAD D&gt;4&lt;=10 IN</v>
          </cell>
          <cell r="F400" t="str">
            <v xml:space="preserve">DESMONTAJE, LIMPIEZA, RESTAURACIÓN DE LAS SUPERFICIES DE SELLADO. LAPEADO Y/O REEMPLAZO DE COMPONENTES DAÑADOS. SUMINISTRO Y MONTAJE CONSTRUCCIÓN DE GUARNICIÓNES. INSPECCIÓN POR LÍQUIDOS PENETRANTES DE ASIENTOS . MONTAJE. COMPROBACIÓN DEL VALOR DE CALIBRADO SOBRE BANCO </v>
          </cell>
          <cell r="G400" t="str">
            <v>MMIM0106</v>
          </cell>
          <cell r="H400" t="str">
            <v>NUM</v>
          </cell>
          <cell r="I400">
            <v>1</v>
          </cell>
          <cell r="J400">
            <v>4</v>
          </cell>
          <cell r="K400">
            <v>2</v>
          </cell>
          <cell r="L400">
            <v>8</v>
          </cell>
          <cell r="M400" t="str">
            <v>NO</v>
          </cell>
          <cell r="N400">
            <v>0</v>
          </cell>
          <cell r="O400">
            <v>0</v>
          </cell>
          <cell r="P400">
            <v>2</v>
          </cell>
          <cell r="Q400">
            <v>0</v>
          </cell>
          <cell r="R400">
            <v>0</v>
          </cell>
          <cell r="S400">
            <v>6</v>
          </cell>
          <cell r="T400"/>
          <cell r="U400"/>
          <cell r="V400">
            <v>373.08937077469972</v>
          </cell>
          <cell r="W400">
            <v>0</v>
          </cell>
          <cell r="X400">
            <v>0</v>
          </cell>
          <cell r="Y400">
            <v>0</v>
          </cell>
          <cell r="Z400">
            <v>2238.5362246481982</v>
          </cell>
          <cell r="AA400">
            <v>373.08937077469972</v>
          </cell>
          <cell r="AB400">
            <v>22.511057789164703</v>
          </cell>
          <cell r="AC400">
            <v>8</v>
          </cell>
          <cell r="AD400">
            <v>57.995947042532947</v>
          </cell>
          <cell r="AE400">
            <v>87.814761481588022</v>
          </cell>
          <cell r="AF400">
            <v>19.553950250246313</v>
          </cell>
          <cell r="AG400">
            <v>27.636249687014793</v>
          </cell>
          <cell r="AH400" t="str">
            <v>Mecánica</v>
          </cell>
          <cell r="AI400">
            <v>373.08937077469972</v>
          </cell>
          <cell r="AJ400">
            <v>8</v>
          </cell>
          <cell r="AK400">
            <v>46.636171346837465</v>
          </cell>
        </row>
        <row r="401">
          <cell r="A401" t="str">
            <v>C242</v>
          </cell>
          <cell r="B401" t="str">
            <v>COND</v>
          </cell>
          <cell r="C401" t="str">
            <v>WWOMMIM01060403100</v>
          </cell>
          <cell r="D401" t="str">
            <v>VENTANILLA, SANTA ROSA Y MALACAS</v>
          </cell>
          <cell r="E401" t="str">
            <v>REVISIÓN VÁLVULA SEGURIDAD D&lt;=2IN</v>
          </cell>
          <cell r="F401" t="str">
            <v xml:space="preserve">DESMONTAJE, LIMPIEZA, RESTAURACIÓN DE LAS SUPERFICIES DE SELLADO. LAPEADO Y/O REEMPLAZO DE COMPONENTES DAÑADOS. SUMINISTRO Y MONTAJE CONSTRUCCIÓN DE GUARNICIÓNES. INSPECCIÓN POR LÍQUIDOS PENETRANTES DE ASIENTOS . MONTAJE. COMPROBACIÓN DEL VALOR DE CALIBRADO SOBRE BANCO </v>
          </cell>
          <cell r="G401" t="str">
            <v>MMIM0100</v>
          </cell>
          <cell r="H401" t="str">
            <v>NUM</v>
          </cell>
          <cell r="I401">
            <v>1</v>
          </cell>
          <cell r="J401">
            <v>2</v>
          </cell>
          <cell r="K401">
            <v>2</v>
          </cell>
          <cell r="L401">
            <v>4</v>
          </cell>
          <cell r="M401" t="str">
            <v>NO</v>
          </cell>
          <cell r="N401">
            <v>1</v>
          </cell>
          <cell r="O401">
            <v>1</v>
          </cell>
          <cell r="P401">
            <v>1</v>
          </cell>
          <cell r="Q401">
            <v>3</v>
          </cell>
          <cell r="R401">
            <v>3</v>
          </cell>
          <cell r="S401">
            <v>3</v>
          </cell>
          <cell r="T401">
            <v>179.69076376695023</v>
          </cell>
          <cell r="U401">
            <v>179.69076376695023</v>
          </cell>
          <cell r="V401">
            <v>179.69076376695023</v>
          </cell>
          <cell r="W401">
            <v>539.07229130085068</v>
          </cell>
          <cell r="X401">
            <v>539.07229130085068</v>
          </cell>
          <cell r="Y401">
            <v>1078.1445826017014</v>
          </cell>
          <cell r="Z401">
            <v>539.07229130085068</v>
          </cell>
          <cell r="AA401">
            <v>179.69076376695023</v>
          </cell>
          <cell r="AB401">
            <v>20.776439546856693</v>
          </cell>
          <cell r="AC401">
            <v>4</v>
          </cell>
          <cell r="AD401">
            <v>28.309933845944119</v>
          </cell>
          <cell r="AE401">
            <v>45.546889873468935</v>
          </cell>
          <cell r="AF401">
            <v>9.4177549144103896</v>
          </cell>
          <cell r="AG401">
            <v>13.310426945700017</v>
          </cell>
          <cell r="AH401" t="str">
            <v>Mecánica</v>
          </cell>
          <cell r="AI401">
            <v>179.69076376695023</v>
          </cell>
          <cell r="AJ401">
            <v>4</v>
          </cell>
          <cell r="AK401">
            <v>44.922690941737557</v>
          </cell>
        </row>
        <row r="402">
          <cell r="A402" t="str">
            <v>C243</v>
          </cell>
          <cell r="B402" t="str">
            <v>COND</v>
          </cell>
          <cell r="C402" t="str">
            <v>WWOMMIM01060403400</v>
          </cell>
          <cell r="D402" t="str">
            <v>VENTANILLA, SANTA ROSA Y MALACAS</v>
          </cell>
          <cell r="E402" t="str">
            <v>REVISIÓN VÁLVULA SEGURIDAD D&gt;10 IN</v>
          </cell>
          <cell r="F402" t="str">
            <v xml:space="preserve">DESMONTAJE, LIMPIEZA, RESTAURACIÓN DE LAS SUPERFICIES DE SELLADO. LAPEADO Y/O REEMPLAZO DE COMPONENTES DAÑADOS. SUMINISTRO Y MONTAJE CONSTRUCCIÓN DE GUARNICIÓNES. INSPECCIÓN POR LÍQUIDOS PENETRANTES DE ASIENTOS . MONTAJE. COMPROBACIÓN DEL VALOR DE CALIBRADO SOBRE BANCO </v>
          </cell>
          <cell r="G402" t="str">
            <v>MMIM0100</v>
          </cell>
          <cell r="H402" t="str">
            <v>NUM</v>
          </cell>
          <cell r="I402">
            <v>1</v>
          </cell>
          <cell r="J402">
            <v>8</v>
          </cell>
          <cell r="K402">
            <v>3</v>
          </cell>
          <cell r="L402">
            <v>24</v>
          </cell>
          <cell r="M402" t="str">
            <v>SI</v>
          </cell>
          <cell r="N402">
            <v>4</v>
          </cell>
          <cell r="O402">
            <v>3</v>
          </cell>
          <cell r="P402">
            <v>3</v>
          </cell>
          <cell r="Q402">
            <v>12</v>
          </cell>
          <cell r="R402">
            <v>9</v>
          </cell>
          <cell r="S402">
            <v>9</v>
          </cell>
          <cell r="T402">
            <v>1098.1138349132241</v>
          </cell>
          <cell r="U402">
            <v>1098.1138349132241</v>
          </cell>
          <cell r="V402">
            <v>1098.1138349132241</v>
          </cell>
          <cell r="W402">
            <v>13177.366018958688</v>
          </cell>
          <cell r="X402">
            <v>9883.0245142190161</v>
          </cell>
          <cell r="Y402">
            <v>23060.390533177706</v>
          </cell>
          <cell r="Z402">
            <v>9883.0245142190161</v>
          </cell>
          <cell r="AA402">
            <v>1098.1138349132241</v>
          </cell>
          <cell r="AB402">
            <v>21.533127692412709</v>
          </cell>
          <cell r="AC402">
            <v>24</v>
          </cell>
          <cell r="AD402">
            <v>169.58474282085714</v>
          </cell>
          <cell r="AE402">
            <v>272.83912592359286</v>
          </cell>
          <cell r="AF402">
            <v>57.553136001741301</v>
          </cell>
          <cell r="AG402">
            <v>81.341765549127715</v>
          </cell>
          <cell r="AH402" t="str">
            <v>Mecánica</v>
          </cell>
          <cell r="AI402">
            <v>1098.1138349132241</v>
          </cell>
          <cell r="AJ402">
            <v>24</v>
          </cell>
          <cell r="AK402">
            <v>45.754743121384337</v>
          </cell>
        </row>
        <row r="403">
          <cell r="A403" t="str">
            <v>C244</v>
          </cell>
          <cell r="B403" t="str">
            <v>COND</v>
          </cell>
          <cell r="C403" t="str">
            <v>WWOMMIM01060403200</v>
          </cell>
          <cell r="D403" t="str">
            <v>VENTANILLA, SANTA ROSA Y MALACAS</v>
          </cell>
          <cell r="E403" t="str">
            <v>REVISIÓN VÁLVULA SEGURIDAD D&gt;2&lt;=4 IN</v>
          </cell>
          <cell r="F403" t="str">
            <v xml:space="preserve">DESMONTAJE, LIMPIEZA, RESTAURACIÓN DE LAS SUPERFICIES DE SELLADO. LAPEADO Y/O REEMPLAZO DE COMPONENTES DAÑADOS. SUMINISTRO Y MONTAJE CONSTRUCCIÓN DE GUARNICIÓNES. INSPECCIÓN POR LÍQUIDOS PENETRANTES DE ASIENTOS . MONTAJE. COMPROBACIÓN DEL VALOR DE CALIBRADO SOBRE BANCO </v>
          </cell>
          <cell r="G403" t="str">
            <v>MMIM0100</v>
          </cell>
          <cell r="H403" t="str">
            <v>NUM</v>
          </cell>
          <cell r="I403">
            <v>1</v>
          </cell>
          <cell r="J403">
            <v>3</v>
          </cell>
          <cell r="K403">
            <v>2</v>
          </cell>
          <cell r="L403">
            <v>6</v>
          </cell>
          <cell r="M403" t="str">
            <v>NO</v>
          </cell>
          <cell r="N403">
            <v>1</v>
          </cell>
          <cell r="O403">
            <v>1</v>
          </cell>
          <cell r="P403">
            <v>1</v>
          </cell>
          <cell r="Q403">
            <v>3</v>
          </cell>
          <cell r="R403">
            <v>3</v>
          </cell>
          <cell r="S403">
            <v>3</v>
          </cell>
          <cell r="T403">
            <v>269.5361456504254</v>
          </cell>
          <cell r="U403">
            <v>269.5361456504254</v>
          </cell>
          <cell r="V403">
            <v>269.5361456504254</v>
          </cell>
          <cell r="W403">
            <v>808.60843695127619</v>
          </cell>
          <cell r="X403">
            <v>808.60843695127619</v>
          </cell>
          <cell r="Y403">
            <v>1617.2168739025524</v>
          </cell>
          <cell r="Z403">
            <v>808.60843695127619</v>
          </cell>
          <cell r="AA403">
            <v>269.5361456504254</v>
          </cell>
          <cell r="AB403">
            <v>20.776439546856693</v>
          </cell>
          <cell r="AC403">
            <v>6</v>
          </cell>
          <cell r="AD403">
            <v>42.464900768916195</v>
          </cell>
          <cell r="AE403">
            <v>68.32033481020342</v>
          </cell>
          <cell r="AF403">
            <v>14.126632371615585</v>
          </cell>
          <cell r="AG403">
            <v>19.965640418550031</v>
          </cell>
          <cell r="AH403" t="str">
            <v>Mecánica</v>
          </cell>
          <cell r="AI403">
            <v>269.5361456504254</v>
          </cell>
          <cell r="AJ403">
            <v>6</v>
          </cell>
          <cell r="AK403">
            <v>44.922690941737564</v>
          </cell>
        </row>
        <row r="404">
          <cell r="A404" t="str">
            <v>C245</v>
          </cell>
          <cell r="B404" t="str">
            <v>COND</v>
          </cell>
          <cell r="C404" t="str">
            <v>WWOMMIM01060403300</v>
          </cell>
          <cell r="D404" t="str">
            <v>VENTANILLA, SANTA ROSA Y MALACAS</v>
          </cell>
          <cell r="E404" t="str">
            <v>REVISIÓN VÁLVULA SEGURIDAD D&gt;4&lt;=10 IN</v>
          </cell>
          <cell r="F404" t="str">
            <v xml:space="preserve">DESMONTAJE, LIMPIEZA, RESTAURACIÓN DE LAS SUPERFICIES DE SELLADO. LAPEADO Y/O REEMPLAZO DE COMPONENTES DAÑADOS. SUMINISTRO Y MONTAJE CONSTRUCCIÓN DE GUARNICIÓNES. INSPECCIÓN POR LÍQUIDOS PENETRANTES DE ASIENTOS . MONTAJE. COMPROBACIÓN DEL VALOR DE CALIBRADO SOBRE BANCO </v>
          </cell>
          <cell r="G404" t="str">
            <v>MMIM0100</v>
          </cell>
          <cell r="H404" t="str">
            <v>NUM</v>
          </cell>
          <cell r="I404">
            <v>1</v>
          </cell>
          <cell r="J404">
            <v>4</v>
          </cell>
          <cell r="K404">
            <v>2</v>
          </cell>
          <cell r="L404">
            <v>8</v>
          </cell>
          <cell r="M404" t="str">
            <v>NO</v>
          </cell>
          <cell r="N404">
            <v>1</v>
          </cell>
          <cell r="O404">
            <v>1</v>
          </cell>
          <cell r="P404">
            <v>1</v>
          </cell>
          <cell r="Q404">
            <v>3</v>
          </cell>
          <cell r="R404">
            <v>3</v>
          </cell>
          <cell r="S404">
            <v>3</v>
          </cell>
          <cell r="T404">
            <v>359.38152753390045</v>
          </cell>
          <cell r="U404">
            <v>359.38152753390045</v>
          </cell>
          <cell r="V404">
            <v>359.38152753390045</v>
          </cell>
          <cell r="W404">
            <v>1078.1445826017014</v>
          </cell>
          <cell r="X404">
            <v>1078.1445826017014</v>
          </cell>
          <cell r="Y404">
            <v>2156.2891652034027</v>
          </cell>
          <cell r="Z404">
            <v>1078.1445826017014</v>
          </cell>
          <cell r="AA404">
            <v>359.38152753390045</v>
          </cell>
          <cell r="AB404">
            <v>20.776439546856693</v>
          </cell>
          <cell r="AC404">
            <v>8</v>
          </cell>
          <cell r="AD404">
            <v>56.619867691888238</v>
          </cell>
          <cell r="AE404">
            <v>91.093779746937869</v>
          </cell>
          <cell r="AF404">
            <v>18.835509828820779</v>
          </cell>
          <cell r="AG404">
            <v>26.620853891400035</v>
          </cell>
          <cell r="AH404" t="str">
            <v>Mecánica</v>
          </cell>
          <cell r="AI404">
            <v>359.38152753390045</v>
          </cell>
          <cell r="AJ404">
            <v>8</v>
          </cell>
          <cell r="AK404">
            <v>44.922690941737557</v>
          </cell>
        </row>
        <row r="405">
          <cell r="A405" t="str">
            <v>C015</v>
          </cell>
          <cell r="B405" t="str">
            <v>COND</v>
          </cell>
          <cell r="C405" t="str">
            <v>WWOLEII09080200600</v>
          </cell>
          <cell r="D405" t="str">
            <v>VENTANILLA, SANTA ROSA Y MALACAS</v>
          </cell>
          <cell r="E405" t="str">
            <v>DESMONTAJE/ MONTAJE DEL ACTUADOR&gt;8 IN</v>
          </cell>
          <cell r="F405" t="str">
            <v xml:space="preserve">DESMONTAJE Y REMONTAJE DE ACTUADORES PARA VÁLVULAS MAYORES DE 8 PULGADAS. INCLUYE EL DESACOPLAMIENTODE/ ACOPLAMENTO DESDE LA VÁLVULA, LA DESCONEXION ELECTRICA Y DE SEÑAL. INCLUYE LIMPIEZA DE LAS SUPERFICIES Y ENGRASE DURANTE EL REMONTAJE, PRUEBAS FUNCIÓNALES. CONTABILIZACIÓN: 40% DESCONEXION 60% RECONEXION. </v>
          </cell>
          <cell r="G405" t="str">
            <v>LEII0900</v>
          </cell>
          <cell r="H405" t="str">
            <v>NUM</v>
          </cell>
          <cell r="I405">
            <v>1</v>
          </cell>
          <cell r="J405">
            <v>10</v>
          </cell>
          <cell r="K405">
            <v>2</v>
          </cell>
          <cell r="L405">
            <v>20</v>
          </cell>
          <cell r="M405" t="str">
            <v>SI</v>
          </cell>
          <cell r="N405">
            <v>4</v>
          </cell>
          <cell r="O405">
            <v>3</v>
          </cell>
          <cell r="P405">
            <v>3</v>
          </cell>
          <cell r="Q405">
            <v>12</v>
          </cell>
          <cell r="R405">
            <v>9</v>
          </cell>
          <cell r="S405">
            <v>9</v>
          </cell>
          <cell r="T405">
            <v>994.30800000000022</v>
          </cell>
          <cell r="U405">
            <v>994.30800000000022</v>
          </cell>
          <cell r="V405">
            <v>994.30800000000022</v>
          </cell>
          <cell r="W405">
            <v>11931.696000000004</v>
          </cell>
          <cell r="X405">
            <v>8948.7720000000027</v>
          </cell>
          <cell r="Y405">
            <v>20880.468000000008</v>
          </cell>
          <cell r="Z405">
            <v>8948.7720000000027</v>
          </cell>
          <cell r="AA405">
            <v>994.30800000000022</v>
          </cell>
          <cell r="AB405">
            <v>22.389027306507995</v>
          </cell>
          <cell r="AC405">
            <v>20</v>
          </cell>
          <cell r="AD405">
            <v>149.62616961816775</v>
          </cell>
          <cell r="AE405">
            <v>271.13626119087593</v>
          </cell>
          <cell r="AF405">
            <v>52.112578616352209</v>
          </cell>
          <cell r="AG405">
            <v>73.65244444444447</v>
          </cell>
          <cell r="AH405" t="str">
            <v>Instrumentación</v>
          </cell>
          <cell r="AI405">
            <v>994.30800000000022</v>
          </cell>
          <cell r="AJ405">
            <v>20</v>
          </cell>
          <cell r="AK405">
            <v>49.71540000000001</v>
          </cell>
        </row>
        <row r="406">
          <cell r="A406" t="str">
            <v>C017</v>
          </cell>
          <cell r="B406" t="str">
            <v>COND</v>
          </cell>
          <cell r="C406" t="str">
            <v>WWOLEII09080200500</v>
          </cell>
          <cell r="D406" t="str">
            <v>VENTANILLA, SANTA ROSA Y MALACAS</v>
          </cell>
          <cell r="E406" t="str">
            <v>DESMONTAJE/MONTAJE ACTUADOR &gt;4 Y &lt;= 8 IN</v>
          </cell>
          <cell r="F406" t="str">
            <v xml:space="preserve">DESMONTAJE Y REMONTAJE DE ACTUADORES PARA VÁLVULAS MAYORES DE 4 HASTA 8 PULGADAS. INCLUYE EL DESACOPLAMIENTODE/ ACOPLAMENTO DESDE LA VÁLVULA, LA DESCONEXION ELECTRICA Y DE SEÑAL. INCLUYE LIMPIEZA DE LAS SUPERFICIES Y ENGRASE DURANTE EL REMONTAJE, PRUEBAS FUNCIÓNALES. CONTABILIZACIÓN: 40% DESCONEXION 60% RECONEXION. </v>
          </cell>
          <cell r="G406" t="str">
            <v>LEII0900</v>
          </cell>
          <cell r="H406" t="str">
            <v>NUM</v>
          </cell>
          <cell r="I406">
            <v>1</v>
          </cell>
          <cell r="J406">
            <v>8</v>
          </cell>
          <cell r="K406">
            <v>2</v>
          </cell>
          <cell r="L406">
            <v>16</v>
          </cell>
          <cell r="M406" t="str">
            <v>NO</v>
          </cell>
          <cell r="N406">
            <v>4</v>
          </cell>
          <cell r="O406">
            <v>3</v>
          </cell>
          <cell r="P406">
            <v>3</v>
          </cell>
          <cell r="Q406">
            <v>12</v>
          </cell>
          <cell r="R406">
            <v>9</v>
          </cell>
          <cell r="S406">
            <v>9</v>
          </cell>
          <cell r="T406">
            <v>795.4463999999997</v>
          </cell>
          <cell r="U406">
            <v>795.4463999999997</v>
          </cell>
          <cell r="V406">
            <v>795.4463999999997</v>
          </cell>
          <cell r="W406">
            <v>9545.3567999999959</v>
          </cell>
          <cell r="X406">
            <v>7159.0175999999974</v>
          </cell>
          <cell r="Y406">
            <v>16704.374399999993</v>
          </cell>
          <cell r="Z406">
            <v>7159.0175999999974</v>
          </cell>
          <cell r="AA406">
            <v>795.4463999999997</v>
          </cell>
          <cell r="AB406">
            <v>22.389027306507995</v>
          </cell>
          <cell r="AC406">
            <v>16</v>
          </cell>
          <cell r="AD406">
            <v>129.0253870252119</v>
          </cell>
          <cell r="AE406">
            <v>207.58455762202254</v>
          </cell>
          <cell r="AF406">
            <v>41.690062893081745</v>
          </cell>
          <cell r="AG406">
            <v>58.921955555555535</v>
          </cell>
          <cell r="AH406" t="str">
            <v>Instrumentación</v>
          </cell>
          <cell r="AI406">
            <v>795.4463999999997</v>
          </cell>
          <cell r="AJ406">
            <v>16</v>
          </cell>
          <cell r="AK406">
            <v>49.715399999999981</v>
          </cell>
        </row>
        <row r="407">
          <cell r="A407" t="str">
            <v>C016</v>
          </cell>
          <cell r="B407" t="str">
            <v>COND</v>
          </cell>
          <cell r="C407" t="str">
            <v>WWOLEII09080200400</v>
          </cell>
          <cell r="D407" t="str">
            <v>VENTANILLA, SANTA ROSA Y MALACAS</v>
          </cell>
          <cell r="E407" t="str">
            <v>DESMONTAJE/MONTAJE ACTUADOR &gt;2Y&lt;=4 IN</v>
          </cell>
          <cell r="F407" t="str">
            <v xml:space="preserve">DESMONTAJE Y REMONTAJE DE ACTUADORES PARA VÁLVULAS MAYORES DE 2 HASTA 4 PULGADAS. INCLUYE EL DESACOPLAMIENTODE/ ACOPLAMENTO DESDE LA VÁLVULA, LA DESCONEXION ELECTRICA Y DE SEÑAL. INCLUYE LIMPIEZA DE LAS SUPERFICIES Y ENGRASE DURANTE EL REMONTAJE, PRUEBAS FUNCIÓNALES. CONTABILIZACIÓN: 40% DESCONEXION 60% RECONEXION. </v>
          </cell>
          <cell r="G407" t="str">
            <v>LEII0900</v>
          </cell>
          <cell r="H407" t="str">
            <v>NUM</v>
          </cell>
          <cell r="I407">
            <v>1</v>
          </cell>
          <cell r="J407">
            <v>7</v>
          </cell>
          <cell r="K407">
            <v>2</v>
          </cell>
          <cell r="L407">
            <v>14</v>
          </cell>
          <cell r="M407" t="str">
            <v>NO</v>
          </cell>
          <cell r="N407">
            <v>4</v>
          </cell>
          <cell r="O407">
            <v>3</v>
          </cell>
          <cell r="P407">
            <v>3</v>
          </cell>
          <cell r="Q407">
            <v>12</v>
          </cell>
          <cell r="R407">
            <v>9</v>
          </cell>
          <cell r="S407">
            <v>9</v>
          </cell>
          <cell r="T407">
            <v>696.01560000000029</v>
          </cell>
          <cell r="U407">
            <v>696.01560000000029</v>
          </cell>
          <cell r="V407">
            <v>696.01560000000029</v>
          </cell>
          <cell r="W407">
            <v>8352.1872000000039</v>
          </cell>
          <cell r="X407">
            <v>6264.140400000003</v>
          </cell>
          <cell r="Y407">
            <v>14616.327600000008</v>
          </cell>
          <cell r="Z407">
            <v>6264.140400000003</v>
          </cell>
          <cell r="AA407">
            <v>696.01560000000029</v>
          </cell>
          <cell r="AB407">
            <v>22.389027306507995</v>
          </cell>
          <cell r="AC407">
            <v>14</v>
          </cell>
          <cell r="AD407">
            <v>112.89721364706062</v>
          </cell>
          <cell r="AE407">
            <v>181.63648791927008</v>
          </cell>
          <cell r="AF407">
            <v>36.478805031446555</v>
          </cell>
          <cell r="AG407">
            <v>51.556711111111134</v>
          </cell>
          <cell r="AH407" t="str">
            <v>Instrumentación</v>
          </cell>
          <cell r="AI407">
            <v>696.01560000000029</v>
          </cell>
          <cell r="AJ407">
            <v>14</v>
          </cell>
          <cell r="AK407">
            <v>49.715400000000024</v>
          </cell>
        </row>
        <row r="408">
          <cell r="A408" t="str">
            <v>C014</v>
          </cell>
          <cell r="B408" t="str">
            <v>COND</v>
          </cell>
          <cell r="C408" t="str">
            <v>WWOLEII09080200300</v>
          </cell>
          <cell r="D408" t="str">
            <v>VENTANILLA, SANTA ROSA Y MALACAS</v>
          </cell>
          <cell r="E408" t="str">
            <v>DESM/MONT ACTUADOR ELETTR DE VALV&lt;=2 IN</v>
          </cell>
          <cell r="F408" t="str">
            <v xml:space="preserve">DESMONTAJE Y REMONTAJE DE ACTUADORES PARA VÁLVULAS HASTA 2 PULGADAS. INCLUYE EL DESACOPLAMIENTODE/ ACOPLAMENTO DESDE LA VÁLVULA, LA DESCONEXION ELECTRICA Y DE SEÑAL. INCLUYE LIMPIEZA DE LAS SUPERFICIES Y ENGRASE DURANTE EL REMONTAJE, PRUEBAS FUNCIÓNALES. CONTABILIZACIÓN: 40% DESCONEXION 60% RECONEXION. </v>
          </cell>
          <cell r="G408" t="str">
            <v>LEII0900</v>
          </cell>
          <cell r="H408" t="str">
            <v>NUM</v>
          </cell>
          <cell r="I408">
            <v>1</v>
          </cell>
          <cell r="J408">
            <v>6</v>
          </cell>
          <cell r="K408">
            <v>2</v>
          </cell>
          <cell r="L408">
            <v>12</v>
          </cell>
          <cell r="M408" t="str">
            <v>NO</v>
          </cell>
          <cell r="N408">
            <v>4</v>
          </cell>
          <cell r="O408">
            <v>3</v>
          </cell>
          <cell r="P408">
            <v>3</v>
          </cell>
          <cell r="Q408">
            <v>12</v>
          </cell>
          <cell r="R408">
            <v>9</v>
          </cell>
          <cell r="S408">
            <v>9</v>
          </cell>
          <cell r="T408">
            <v>596.58479999999952</v>
          </cell>
          <cell r="U408">
            <v>596.58479999999952</v>
          </cell>
          <cell r="V408">
            <v>596.58479999999952</v>
          </cell>
          <cell r="W408">
            <v>7159.0175999999938</v>
          </cell>
          <cell r="X408">
            <v>5369.2631999999958</v>
          </cell>
          <cell r="Y408">
            <v>12528.28079999999</v>
          </cell>
          <cell r="Z408">
            <v>5369.2631999999958</v>
          </cell>
          <cell r="AA408">
            <v>596.58479999999952</v>
          </cell>
          <cell r="AB408">
            <v>22.389027306507995</v>
          </cell>
          <cell r="AC408">
            <v>12</v>
          </cell>
          <cell r="AD408">
            <v>96.769040268908839</v>
          </cell>
          <cell r="AE408">
            <v>155.68841821651679</v>
          </cell>
          <cell r="AF408">
            <v>31.267547169811291</v>
          </cell>
          <cell r="AG408">
            <v>44.191466666666628</v>
          </cell>
          <cell r="AH408" t="str">
            <v>Instrumentación</v>
          </cell>
          <cell r="AI408">
            <v>596.58479999999952</v>
          </cell>
          <cell r="AJ408">
            <v>12</v>
          </cell>
          <cell r="AK408">
            <v>49.71539999999996</v>
          </cell>
        </row>
        <row r="409">
          <cell r="A409" t="str">
            <v>C155</v>
          </cell>
          <cell r="B409" t="str">
            <v>COND</v>
          </cell>
          <cell r="C409" t="str">
            <v>WWOLEII09081400300</v>
          </cell>
          <cell r="D409" t="str">
            <v>VENTANILLA, SANTA ROSA Y MALACAS</v>
          </cell>
          <cell r="E409" t="str">
            <v>DESMONTAJE TRAFO ACEITE &lt; 10 MVA</v>
          </cell>
          <cell r="F409" t="str">
            <v>DESMONTAJE TRAFO ACEITE &lt; 10 MVA.  TRABAJO DE DESCONEXIÓN DE LAS BORNAS DE POTENCIA Y CONTROL PARA ENVIO A TALLER. ETC. EQUIPOS DE ELEVACIÓN EXCLUIDOS</v>
          </cell>
          <cell r="G409" t="str">
            <v>LEII0900</v>
          </cell>
          <cell r="H409" t="str">
            <v>NUM</v>
          </cell>
          <cell r="I409">
            <v>1</v>
          </cell>
          <cell r="J409">
            <v>3</v>
          </cell>
          <cell r="K409">
            <v>2</v>
          </cell>
          <cell r="L409">
            <v>6</v>
          </cell>
          <cell r="M409" t="str">
            <v>NO</v>
          </cell>
          <cell r="N409">
            <v>4</v>
          </cell>
          <cell r="O409">
            <v>3</v>
          </cell>
          <cell r="P409">
            <v>3</v>
          </cell>
          <cell r="Q409">
            <v>12</v>
          </cell>
          <cell r="R409">
            <v>9</v>
          </cell>
          <cell r="S409">
            <v>9</v>
          </cell>
          <cell r="T409">
            <v>304.11423190674321</v>
          </cell>
          <cell r="U409">
            <v>304.11423190674321</v>
          </cell>
          <cell r="V409">
            <v>304.11423190674321</v>
          </cell>
          <cell r="W409">
            <v>3649.3707828809183</v>
          </cell>
          <cell r="X409">
            <v>2737.0280871606888</v>
          </cell>
          <cell r="Y409">
            <v>6386.3988700416066</v>
          </cell>
          <cell r="Z409">
            <v>2737.0280871606888</v>
          </cell>
          <cell r="AA409">
            <v>304.11423190674321</v>
          </cell>
          <cell r="AB409">
            <v>25.459519838125555</v>
          </cell>
          <cell r="AC409">
            <v>6</v>
          </cell>
          <cell r="AD409">
            <v>43.272146567925127</v>
          </cell>
          <cell r="AE409">
            <v>69.61908512549418</v>
          </cell>
          <cell r="AF409">
            <v>15.938901043330356</v>
          </cell>
          <cell r="AG409">
            <v>22.526980141240237</v>
          </cell>
          <cell r="AH409" t="str">
            <v>Electricidad</v>
          </cell>
          <cell r="AI409">
            <v>304.11423190674321</v>
          </cell>
          <cell r="AJ409">
            <v>6</v>
          </cell>
          <cell r="AK409">
            <v>50.685705317790536</v>
          </cell>
        </row>
        <row r="410">
          <cell r="A410" t="str">
            <v>C063</v>
          </cell>
          <cell r="B410" t="str">
            <v>COND</v>
          </cell>
          <cell r="C410" t="str">
            <v>WWOLEII09080501400</v>
          </cell>
          <cell r="D410" t="str">
            <v>VENTANILLA, SANTA ROSA Y MALACAS</v>
          </cell>
          <cell r="E410" t="str">
            <v>DESMONTAJE/MONT BÁCULO ALUMBRADO</v>
          </cell>
          <cell r="F410" t="str">
            <v>DESMONTAJE O MONTAJE DE BÁCULO DE ALUMBRADO HASTA 12 MTS. SE INCLUYE EL TRASLADO DEL BÁCULO EN EL INTERIRP DE LA CENTRAL, GRÚA, COLOCACIÓN Y APRIETE. MATERIAL SUMINSITRO DE LA PROPIEDAD. NO INCLUYE OBRA CIVIL. ACTIVIDAD PARA EL MONTAJE O DESMONTAJE</v>
          </cell>
          <cell r="G410" t="str">
            <v>LEII0900</v>
          </cell>
          <cell r="H410" t="str">
            <v>NUM</v>
          </cell>
          <cell r="I410">
            <v>1</v>
          </cell>
          <cell r="J410">
            <v>2</v>
          </cell>
          <cell r="K410">
            <v>2</v>
          </cell>
          <cell r="L410">
            <v>4</v>
          </cell>
          <cell r="M410" t="str">
            <v>NO</v>
          </cell>
          <cell r="N410">
            <v>4</v>
          </cell>
          <cell r="O410">
            <v>3</v>
          </cell>
          <cell r="P410">
            <v>3</v>
          </cell>
          <cell r="Q410">
            <v>12</v>
          </cell>
          <cell r="R410">
            <v>9</v>
          </cell>
          <cell r="S410">
            <v>9</v>
          </cell>
          <cell r="T410">
            <v>192.44867431860953</v>
          </cell>
          <cell r="U410">
            <v>192.44867431860953</v>
          </cell>
          <cell r="V410">
            <v>192.44867431860953</v>
          </cell>
          <cell r="W410">
            <v>2309.3840918233145</v>
          </cell>
          <cell r="X410">
            <v>1732.0380688674859</v>
          </cell>
          <cell r="Y410">
            <v>4041.4221606908004</v>
          </cell>
          <cell r="Z410">
            <v>1732.0380688674859</v>
          </cell>
          <cell r="AA410">
            <v>192.44867431860953</v>
          </cell>
          <cell r="AB410">
            <v>23.057832511738386</v>
          </cell>
          <cell r="AC410">
            <v>4</v>
          </cell>
          <cell r="AD410">
            <v>29.083700950977594</v>
          </cell>
          <cell r="AE410">
            <v>46.791777456479714</v>
          </cell>
          <cell r="AF410">
            <v>10.08640850726465</v>
          </cell>
          <cell r="AG410">
            <v>14.255457356934039</v>
          </cell>
          <cell r="AH410" t="str">
            <v>Electricidad</v>
          </cell>
          <cell r="AI410">
            <v>192.44867431860953</v>
          </cell>
          <cell r="AJ410">
            <v>4</v>
          </cell>
          <cell r="AK410">
            <v>48.112168579652383</v>
          </cell>
        </row>
        <row r="411">
          <cell r="A411" t="str">
            <v>P070</v>
          </cell>
          <cell r="B411" t="str">
            <v>PREV</v>
          </cell>
          <cell r="C411" t="str">
            <v>PEOMMIM0100MMLUB07</v>
          </cell>
          <cell r="D411" t="str">
            <v>SANTA ROSA Y MALACAS</v>
          </cell>
          <cell r="E411" t="str">
            <v>ENGRASE TRUNIONS</v>
          </cell>
          <cell r="F411" t="str">
            <v>DESMONTAJE DEL MECANISMO (RETIRANDO LOS PERNOS DE SUJECION) Y DEL PUNTO DE ENGRASE DE TRUNION, PREPARATIVOS PREVIO AL ENGRASE, PROCEDER A RETIRAR TODA LA GRASA ANTIGUA Y LIMPIEZA, APLICACION DE LA NUEVA GRASA, NORMALIZACION Y VERIFICACION DEL APRIETE DE PERNOS RETIRADOS. LIMPIEZA FINAL</v>
          </cell>
          <cell r="G411" t="str">
            <v>MMIM0100</v>
          </cell>
          <cell r="H411" t="str">
            <v>NUM</v>
          </cell>
          <cell r="I411">
            <v>1</v>
          </cell>
          <cell r="J411">
            <v>6</v>
          </cell>
          <cell r="K411">
            <v>3</v>
          </cell>
          <cell r="L411">
            <v>18</v>
          </cell>
          <cell r="M411" t="str">
            <v>SI</v>
          </cell>
          <cell r="N411">
            <v>0</v>
          </cell>
          <cell r="O411">
            <v>24</v>
          </cell>
          <cell r="P411">
            <v>6</v>
          </cell>
          <cell r="Q411">
            <v>0</v>
          </cell>
          <cell r="R411">
            <v>72</v>
          </cell>
          <cell r="S411">
            <v>18</v>
          </cell>
          <cell r="T411"/>
          <cell r="U411">
            <v>844.26125454826615</v>
          </cell>
          <cell r="V411">
            <v>844.26125454826615</v>
          </cell>
          <cell r="W411">
            <v>0</v>
          </cell>
          <cell r="X411">
            <v>60786.810327475163</v>
          </cell>
          <cell r="Y411">
            <v>60786.810327475163</v>
          </cell>
          <cell r="Z411">
            <v>15196.702581868791</v>
          </cell>
          <cell r="AA411">
            <v>844.26125454826615</v>
          </cell>
          <cell r="AB411">
            <v>21.533127692412709</v>
          </cell>
          <cell r="AC411">
            <v>18</v>
          </cell>
          <cell r="AD411">
            <v>124.41936283285619</v>
          </cell>
          <cell r="AE411">
            <v>225.45922911974063</v>
          </cell>
          <cell r="AF411">
            <v>44.248493424961531</v>
          </cell>
          <cell r="AG411">
            <v>62.537870707278969</v>
          </cell>
          <cell r="AH411" t="str">
            <v>Mecánica</v>
          </cell>
          <cell r="AI411">
            <v>844.26125454826615</v>
          </cell>
          <cell r="AJ411">
            <v>18</v>
          </cell>
          <cell r="AK411">
            <v>46.903403030459231</v>
          </cell>
        </row>
        <row r="412">
          <cell r="A412" t="str">
            <v>C277</v>
          </cell>
          <cell r="B412" t="str">
            <v>COND</v>
          </cell>
          <cell r="C412" t="str">
            <v>WWOMMIM01060701500</v>
          </cell>
          <cell r="D412" t="str">
            <v>VENTANILLA, SANTA ROSA Y MALACAS</v>
          </cell>
          <cell r="E412" t="str">
            <v>SUSTITUCIÓN PRE-FILTROS AIRE DE TG</v>
          </cell>
          <cell r="F412" t="str">
            <v>DESMONTAJE DE UN PRE-FILTRO Y MONTAJE DEL REPUESTO CORRESPONDIENTE. SE INCLUYE EN EL ALCANCE EL DESPLAZAMIENTO DEL MATERIAL HASTA EL SITIO DESDE SU LUGAR DE ALMACENAJE Y EL POSTERIOR ACOPIO DE MATERIAL USADO SEGÚN INDICACIÓNES DEL CLIENTE PARA FUTURA GESTIÓN DEL RESIDUO.</v>
          </cell>
          <cell r="G412" t="str">
            <v>MMIM0100</v>
          </cell>
          <cell r="H412" t="str">
            <v>NUM</v>
          </cell>
          <cell r="I412">
            <v>1</v>
          </cell>
          <cell r="J412">
            <v>0.25</v>
          </cell>
          <cell r="K412">
            <v>2</v>
          </cell>
          <cell r="L412">
            <v>0.5</v>
          </cell>
          <cell r="M412" t="str">
            <v>NO</v>
          </cell>
          <cell r="N412">
            <v>1400</v>
          </cell>
          <cell r="O412">
            <v>1071</v>
          </cell>
          <cell r="P412">
            <v>144</v>
          </cell>
          <cell r="Q412">
            <v>4200</v>
          </cell>
          <cell r="R412">
            <v>3213</v>
          </cell>
          <cell r="S412">
            <v>432</v>
          </cell>
          <cell r="T412">
            <v>21.983119662203666</v>
          </cell>
          <cell r="U412">
            <v>21.983119662203666</v>
          </cell>
          <cell r="V412">
            <v>21.983119662203666</v>
          </cell>
          <cell r="W412">
            <v>92329.1025812554</v>
          </cell>
          <cell r="X412">
            <v>70631.763474660387</v>
          </cell>
          <cell r="Y412">
            <v>162960.86605591577</v>
          </cell>
          <cell r="Z412">
            <v>9496.7076940719835</v>
          </cell>
          <cell r="AA412">
            <v>21.983119662203666</v>
          </cell>
          <cell r="AB412">
            <v>19.171538486527368</v>
          </cell>
          <cell r="AC412">
            <v>0.5</v>
          </cell>
          <cell r="AD412">
            <v>3.4198094852052039</v>
          </cell>
          <cell r="AE412">
            <v>6.1970065809333352</v>
          </cell>
          <cell r="AF412">
            <v>1.1521551185641334</v>
          </cell>
          <cell r="AG412">
            <v>1.6283792342373087</v>
          </cell>
          <cell r="AH412" t="str">
            <v>Mecánica</v>
          </cell>
          <cell r="AI412">
            <v>21.983119662203666</v>
          </cell>
          <cell r="AJ412">
            <v>0.5</v>
          </cell>
          <cell r="AK412">
            <v>43.966239324407333</v>
          </cell>
        </row>
        <row r="413">
          <cell r="A413" t="str">
            <v>C276</v>
          </cell>
          <cell r="B413" t="str">
            <v>COND</v>
          </cell>
          <cell r="C413" t="str">
            <v>WWOMMIM01060701400</v>
          </cell>
          <cell r="D413" t="str">
            <v>VENTANILLA, SANTA ROSA Y MALACAS</v>
          </cell>
          <cell r="E413" t="str">
            <v>SUSTITUCIÓN FILTROS COMPLETO AIRE DE TG</v>
          </cell>
          <cell r="F413" t="str">
            <v>DESMONTAJE DE UN FILTRO Y MONTAJE DEL REPUESTO CORRESPONDIENTE. SE INCLUYE EN EL ALCANCE EL DESPLAZAMIENTO DEL MATERIAL HASTA EL SITIO DESDE SU LUGAR DE ALMACENAJE Y EL POSTERIOR ACOPIO DE MATERIAL USADO SEGÚN INDICACIÓNES DEL CLIENTE PARA FUTURA GESTIÓN DEL RESIDUO.</v>
          </cell>
          <cell r="G413" t="str">
            <v>MMIM0100</v>
          </cell>
          <cell r="H413" t="str">
            <v>NUM</v>
          </cell>
          <cell r="I413">
            <v>1</v>
          </cell>
          <cell r="J413">
            <v>0.25</v>
          </cell>
          <cell r="K413">
            <v>2</v>
          </cell>
          <cell r="L413">
            <v>0.5</v>
          </cell>
          <cell r="M413" t="str">
            <v>NO</v>
          </cell>
          <cell r="N413">
            <v>1400</v>
          </cell>
          <cell r="O413">
            <v>1071</v>
          </cell>
          <cell r="P413">
            <v>1056</v>
          </cell>
          <cell r="Q413">
            <v>4200</v>
          </cell>
          <cell r="R413">
            <v>3213</v>
          </cell>
          <cell r="S413">
            <v>3168</v>
          </cell>
          <cell r="T413">
            <v>21.408504410814061</v>
          </cell>
          <cell r="U413">
            <v>21.408504410814061</v>
          </cell>
          <cell r="V413">
            <v>21.408504410814061</v>
          </cell>
          <cell r="W413">
            <v>89915.718525419055</v>
          </cell>
          <cell r="X413">
            <v>68785.524671945575</v>
          </cell>
          <cell r="Y413">
            <v>158701.24319736462</v>
          </cell>
          <cell r="Z413">
            <v>67822.141973458944</v>
          </cell>
          <cell r="AA413">
            <v>21.408504410814061</v>
          </cell>
          <cell r="AB413">
            <v>19.171538486527368</v>
          </cell>
          <cell r="AC413">
            <v>0.5</v>
          </cell>
          <cell r="AD413">
            <v>3.4938095822909565</v>
          </cell>
          <cell r="AE413">
            <v>5.6210714284758065</v>
          </cell>
          <cell r="AF413">
            <v>1.1220390152418269</v>
          </cell>
          <cell r="AG413">
            <v>1.5858151415417823</v>
          </cell>
          <cell r="AH413" t="str">
            <v>Mecánica</v>
          </cell>
          <cell r="AI413">
            <v>21.408504410814061</v>
          </cell>
          <cell r="AJ413">
            <v>0.5</v>
          </cell>
          <cell r="AK413">
            <v>42.817008821628121</v>
          </cell>
        </row>
        <row r="414">
          <cell r="A414" t="str">
            <v>C250</v>
          </cell>
          <cell r="B414" t="str">
            <v>COND</v>
          </cell>
          <cell r="C414" t="str">
            <v>WWOMMIM01060500700</v>
          </cell>
          <cell r="D414" t="str">
            <v>VENTANILLA, SANTA ROSA Y MALACAS</v>
          </cell>
          <cell r="E414" t="str">
            <v>LIMPIEZA FILTRO ATEMPERADOR</v>
          </cell>
          <cell r="F414" t="str">
            <v>DESMONTAJE DE LA CUBIERTA, DESMONTAJE DEL ELEMENTO FILTRANTE, LIMPIEZA DEL ELEMENTO FILTRANTE (A CARGO DEL CONTRATISTA), LIMPIEZA DEL ALOJAMIENTO Y SUSTITUCIÓN DE LAS JUNTAS. REMONTAJE DEL CONJUNTO.</v>
          </cell>
          <cell r="G414" t="str">
            <v>MMIM0100</v>
          </cell>
          <cell r="H414" t="str">
            <v>NUM</v>
          </cell>
          <cell r="I414">
            <v>1</v>
          </cell>
          <cell r="J414">
            <v>4</v>
          </cell>
          <cell r="K414">
            <v>2</v>
          </cell>
          <cell r="L414">
            <v>8</v>
          </cell>
          <cell r="M414" t="str">
            <v>NO</v>
          </cell>
          <cell r="N414">
            <v>4</v>
          </cell>
          <cell r="O414">
            <v>3</v>
          </cell>
          <cell r="P414">
            <v>3</v>
          </cell>
          <cell r="Q414">
            <v>12</v>
          </cell>
          <cell r="R414">
            <v>9</v>
          </cell>
          <cell r="S414">
            <v>9</v>
          </cell>
          <cell r="T414">
            <v>342.54063532265997</v>
          </cell>
          <cell r="U414">
            <v>342.54063532265997</v>
          </cell>
          <cell r="V414">
            <v>342.54063532265997</v>
          </cell>
          <cell r="W414">
            <v>4110.4876238719198</v>
          </cell>
          <cell r="X414">
            <v>3082.8657179039396</v>
          </cell>
          <cell r="Y414">
            <v>7193.353341775859</v>
          </cell>
          <cell r="Z414">
            <v>3082.8657179039396</v>
          </cell>
          <cell r="AA414">
            <v>342.54063532265997</v>
          </cell>
          <cell r="AB414">
            <v>19.171538486527368</v>
          </cell>
          <cell r="AC414">
            <v>8</v>
          </cell>
          <cell r="AD414">
            <v>55.902481711520124</v>
          </cell>
          <cell r="AE414">
            <v>89.939601838137193</v>
          </cell>
          <cell r="AF414">
            <v>17.952863486512577</v>
          </cell>
          <cell r="AG414">
            <v>25.373380394271109</v>
          </cell>
          <cell r="AH414" t="str">
            <v>Mecánica</v>
          </cell>
          <cell r="AI414">
            <v>342.54063532265997</v>
          </cell>
          <cell r="AJ414">
            <v>8</v>
          </cell>
          <cell r="AK414">
            <v>42.817579415332496</v>
          </cell>
        </row>
        <row r="415">
          <cell r="A415" t="str">
            <v>C251</v>
          </cell>
          <cell r="B415" t="str">
            <v>COND</v>
          </cell>
          <cell r="C415" t="str">
            <v>WWOMMIM01060500800</v>
          </cell>
          <cell r="D415" t="str">
            <v>VENTANILLA, SANTA ROSA Y MALACAS</v>
          </cell>
          <cell r="E415" t="str">
            <v>LIMPIEZA FILTRO VAPOR</v>
          </cell>
          <cell r="F415" t="str">
            <v>DESMONTAJE DE LA CUBIERTA, DESMONTAJE DEL ELEMENTO FILTRANTE, LIMPIEZA DEL ELEMENTO FILTRANTE (A CARGO DEL CONTRATISTA), LIMPIEZA DEL ALOJAMIENTO Y SUSTITUCIÓN DE LAS JUNTAS. REMONTAJE DEL CONJUNTO.</v>
          </cell>
          <cell r="G415" t="str">
            <v>MMIM0100</v>
          </cell>
          <cell r="H415" t="str">
            <v>NUM</v>
          </cell>
          <cell r="I415">
            <v>1</v>
          </cell>
          <cell r="J415">
            <v>4</v>
          </cell>
          <cell r="K415">
            <v>2</v>
          </cell>
          <cell r="L415">
            <v>8</v>
          </cell>
          <cell r="M415" t="str">
            <v>NO</v>
          </cell>
          <cell r="N415">
            <v>4</v>
          </cell>
          <cell r="O415">
            <v>3</v>
          </cell>
          <cell r="P415">
            <v>3</v>
          </cell>
          <cell r="Q415">
            <v>12</v>
          </cell>
          <cell r="R415">
            <v>9</v>
          </cell>
          <cell r="S415">
            <v>9</v>
          </cell>
          <cell r="T415">
            <v>342.54063532265997</v>
          </cell>
          <cell r="U415">
            <v>342.54063532265997</v>
          </cell>
          <cell r="V415">
            <v>342.54063532265997</v>
          </cell>
          <cell r="W415">
            <v>4110.4876238719198</v>
          </cell>
          <cell r="X415">
            <v>3082.8657179039396</v>
          </cell>
          <cell r="Y415">
            <v>7193.353341775859</v>
          </cell>
          <cell r="Z415">
            <v>3082.8657179039396</v>
          </cell>
          <cell r="AA415">
            <v>342.54063532265997</v>
          </cell>
          <cell r="AB415">
            <v>19.171538486527368</v>
          </cell>
          <cell r="AC415">
            <v>8</v>
          </cell>
          <cell r="AD415">
            <v>55.902481711520124</v>
          </cell>
          <cell r="AE415">
            <v>89.939601838137193</v>
          </cell>
          <cell r="AF415">
            <v>17.952863486512577</v>
          </cell>
          <cell r="AG415">
            <v>25.373380394271109</v>
          </cell>
          <cell r="AH415" t="str">
            <v>Mecánica</v>
          </cell>
          <cell r="AI415">
            <v>342.54063532265997</v>
          </cell>
          <cell r="AJ415">
            <v>8</v>
          </cell>
          <cell r="AK415">
            <v>42.817579415332496</v>
          </cell>
        </row>
        <row r="416">
          <cell r="A416" t="str">
            <v>C367</v>
          </cell>
          <cell r="B416" t="str">
            <v>COND</v>
          </cell>
          <cell r="C416" t="str">
            <v>PELEII09MEDESMO001</v>
          </cell>
          <cell r="D416" t="str">
            <v>VENTANILLA</v>
          </cell>
          <cell r="E416" t="str">
            <v>DESMONTAJE Y MONTAJE CODO EN POZOS</v>
          </cell>
          <cell r="F416" t="str">
            <v>DESMONTAJE DE CODO, COLOCACIÓN DE BRIDA CIEGA, INSPECCIÓN Y/O CAMBIO DE VÁLVULA CHECK, MONTAJE DE CODO DEL POZO INTERVENIDO</v>
          </cell>
          <cell r="G416" t="str">
            <v>LEII0900</v>
          </cell>
          <cell r="H416" t="str">
            <v>NUM</v>
          </cell>
          <cell r="I416">
            <v>2</v>
          </cell>
          <cell r="J416">
            <v>10</v>
          </cell>
          <cell r="K416">
            <v>2</v>
          </cell>
          <cell r="L416">
            <v>40</v>
          </cell>
          <cell r="M416" t="str">
            <v>SI</v>
          </cell>
          <cell r="N416">
            <v>3</v>
          </cell>
          <cell r="O416">
            <v>0</v>
          </cell>
          <cell r="P416">
            <v>0</v>
          </cell>
          <cell r="Q416">
            <v>9</v>
          </cell>
          <cell r="R416">
            <v>0</v>
          </cell>
          <cell r="S416">
            <v>0</v>
          </cell>
          <cell r="T416">
            <v>1720.2826291938354</v>
          </cell>
          <cell r="U416"/>
          <cell r="V416">
            <v>0</v>
          </cell>
          <cell r="W416">
            <v>15482.54366274452</v>
          </cell>
          <cell r="X416">
            <v>0</v>
          </cell>
          <cell r="Y416">
            <v>15482.54366274452</v>
          </cell>
          <cell r="Z416">
            <v>0</v>
          </cell>
          <cell r="AA416">
            <v>1720.2826291938354</v>
          </cell>
          <cell r="AB416">
            <v>19.171538486527368</v>
          </cell>
          <cell r="AC416">
            <v>40</v>
          </cell>
          <cell r="AD416">
            <v>282.05020303229963</v>
          </cell>
          <cell r="AE416">
            <v>453.78098042225508</v>
          </cell>
          <cell r="AF416">
            <v>90.161563374938964</v>
          </cell>
          <cell r="AG416">
            <v>127.42834290324707</v>
          </cell>
          <cell r="AH416" t="e">
            <v>#N/A</v>
          </cell>
          <cell r="AI416">
            <v>1720.2826291938354</v>
          </cell>
          <cell r="AJ416">
            <v>40</v>
          </cell>
          <cell r="AK416">
            <v>43.007065729845884</v>
          </cell>
        </row>
        <row r="417">
          <cell r="A417" t="str">
            <v>C269</v>
          </cell>
          <cell r="B417" t="str">
            <v>COND</v>
          </cell>
          <cell r="C417" t="str">
            <v>WWOMMIM01060600300</v>
          </cell>
          <cell r="D417" t="str">
            <v>VENTANILLA, SANTA ROSA Y MALACAS</v>
          </cell>
          <cell r="E417" t="str">
            <v>REVISIÓN COMPLETA ATEMPERADOR BP</v>
          </cell>
          <cell r="F417" t="str">
            <v xml:space="preserve">DESMONTAJE COMPLETO DEL ATEPERADOR BP, DESCONEXION ACESORIOS E INTRUMENTACIÓN, LIMPIEZA Y CONTROL MEDIDAS. CONTROL CON L.P. DE LOS INTERNOS. TRANSPORTE A TALLER. REACONDICIÓNAMIENTO Y MECANIZADO NECESARIOS DE LAS PARTES INTERNAS. CALIBRADO RESORTE. SUSTITUCIÓN DE PIEZAS DESGASTADAS. REMONTAJE. SUSTITUCIÓN SELLOS. AJUSTE DE LA TORNILLERÍA. </v>
          </cell>
          <cell r="G417" t="str">
            <v>MMIM0100</v>
          </cell>
          <cell r="H417" t="str">
            <v>NUM</v>
          </cell>
          <cell r="I417">
            <v>1</v>
          </cell>
          <cell r="J417">
            <v>6</v>
          </cell>
          <cell r="K417">
            <v>4</v>
          </cell>
          <cell r="L417">
            <v>24</v>
          </cell>
          <cell r="M417" t="str">
            <v>SI</v>
          </cell>
          <cell r="N417">
            <v>4</v>
          </cell>
          <cell r="O417">
            <v>3</v>
          </cell>
          <cell r="P417">
            <v>3</v>
          </cell>
          <cell r="Q417">
            <v>12</v>
          </cell>
          <cell r="R417">
            <v>9</v>
          </cell>
          <cell r="S417">
            <v>9</v>
          </cell>
          <cell r="T417">
            <v>1052.88324428484</v>
          </cell>
          <cell r="U417">
            <v>1052.88324428484</v>
          </cell>
          <cell r="V417">
            <v>1052.88324428484</v>
          </cell>
          <cell r="W417">
            <v>12634.598931418081</v>
          </cell>
          <cell r="X417">
            <v>9475.9491985635595</v>
          </cell>
          <cell r="Y417">
            <v>22110.548129981638</v>
          </cell>
          <cell r="Z417">
            <v>9475.9491985635595</v>
          </cell>
          <cell r="AA417">
            <v>1052.88324428484</v>
          </cell>
          <cell r="AB417">
            <v>19.97398901669203</v>
          </cell>
          <cell r="AC417">
            <v>24</v>
          </cell>
          <cell r="AD417">
            <v>168.78352410511232</v>
          </cell>
          <cell r="AE417">
            <v>271.55007237761225</v>
          </cell>
          <cell r="AF417">
            <v>55.182559972999989</v>
          </cell>
          <cell r="AG417">
            <v>77.991351428506661</v>
          </cell>
          <cell r="AH417" t="str">
            <v>Mecánica</v>
          </cell>
          <cell r="AI417">
            <v>1052.88324428484</v>
          </cell>
          <cell r="AJ417">
            <v>24</v>
          </cell>
          <cell r="AK417">
            <v>43.870135178535001</v>
          </cell>
        </row>
        <row r="418">
          <cell r="A418" t="str">
            <v>C264</v>
          </cell>
          <cell r="B418" t="str">
            <v>COND</v>
          </cell>
          <cell r="C418" t="str">
            <v>WWOMMIM01060600100</v>
          </cell>
          <cell r="D418" t="str">
            <v>VENTANILLA, SANTA ROSA Y MALACAS</v>
          </cell>
          <cell r="E418" t="str">
            <v>DESMONTAJE Y MONTAJE ATEMPERADOR BP</v>
          </cell>
          <cell r="F418" t="str">
            <v xml:space="preserve">DESMONTAJE COMPLETO DEL ATEPERADOR BP, DESCONEXION ACESORIOS E INTRUMENTACIÓN, LIMPIEZA Y CONTROL MEDIDAS . CONTROL CON L.P. DE LOS INTERNOS. INSPECCIÓN SISTEMA DE ATEMPERACIÓN. SUSTITUCIÓN DE PIEZAS DESGASTADAS. REMONTAJE. SUSTITUCIÓN SELLOS. AJUSTE DE LA TORNILLERÍA. SE CONSIDERA: DESMONTAJE 40% REMONTAJE 60% </v>
          </cell>
          <cell r="G418" t="str">
            <v>MMIM0100</v>
          </cell>
          <cell r="H418" t="str">
            <v>NUM</v>
          </cell>
          <cell r="I418">
            <v>1</v>
          </cell>
          <cell r="J418">
            <v>27</v>
          </cell>
          <cell r="K418">
            <v>3</v>
          </cell>
          <cell r="L418">
            <v>81</v>
          </cell>
          <cell r="M418" t="str">
            <v>SI</v>
          </cell>
          <cell r="N418">
            <v>4</v>
          </cell>
          <cell r="O418">
            <v>3</v>
          </cell>
          <cell r="P418">
            <v>3</v>
          </cell>
          <cell r="Q418">
            <v>12</v>
          </cell>
          <cell r="R418">
            <v>9</v>
          </cell>
          <cell r="S418">
            <v>9</v>
          </cell>
          <cell r="T418">
            <v>3706.1341928321308</v>
          </cell>
          <cell r="U418">
            <v>3706.1341928321308</v>
          </cell>
          <cell r="V418">
            <v>3706.1341928321308</v>
          </cell>
          <cell r="W418">
            <v>44473.61031398557</v>
          </cell>
          <cell r="X418">
            <v>33355.207735489181</v>
          </cell>
          <cell r="Y418">
            <v>77828.81804947475</v>
          </cell>
          <cell r="Z418">
            <v>33355.207735489181</v>
          </cell>
          <cell r="AA418">
            <v>3706.1341928321308</v>
          </cell>
          <cell r="AB418">
            <v>21.533127692412709</v>
          </cell>
          <cell r="AC418">
            <v>81</v>
          </cell>
          <cell r="AD418">
            <v>572.34850702039273</v>
          </cell>
          <cell r="AE418">
            <v>920.83204999212569</v>
          </cell>
          <cell r="AF418">
            <v>194.24183400587685</v>
          </cell>
          <cell r="AG418">
            <v>274.52845872830602</v>
          </cell>
          <cell r="AH418" t="str">
            <v>Mecánica</v>
          </cell>
          <cell r="AI418">
            <v>3706.1341928321308</v>
          </cell>
          <cell r="AJ418">
            <v>81</v>
          </cell>
          <cell r="AK418">
            <v>45.75474312138433</v>
          </cell>
        </row>
        <row r="419">
          <cell r="A419" t="str">
            <v>C268</v>
          </cell>
          <cell r="B419" t="str">
            <v>COND</v>
          </cell>
          <cell r="C419" t="str">
            <v>WWOMMIM01060600400</v>
          </cell>
          <cell r="D419" t="str">
            <v>VENTANILLA, SANTA ROSA Y MALACAS</v>
          </cell>
          <cell r="E419" t="str">
            <v>REVISIÓN COMPLETA ATEMPERADOR AP</v>
          </cell>
          <cell r="F419" t="str">
            <v>DESMONTAJE COMPLETO DEL ATEPERADOR AP, DESCONEXION ACESORIOS E INTRUMENTACIÓN, LIMPIEZA Y CONTROL MEDIDAS. CONTROL CON L.P. DE LOS INTERNOS. TRANSPORTE A TALLER. REACONDICIÓNAMIENTO Y MECANIZADO NECESARIOS DE LAS PARTES INTERNAS. CALIBRADO RESORTE. SUSTITUCIÓN DE PIEZAS DESGASTADAS. REMONTAJE. SUSTITUCIÓN SELLOS. AJUSTE DE LA TORNILLERÍA.</v>
          </cell>
          <cell r="G419" t="str">
            <v>MMIM0100</v>
          </cell>
          <cell r="H419" t="str">
            <v>NUM</v>
          </cell>
          <cell r="I419">
            <v>1</v>
          </cell>
          <cell r="J419">
            <v>8</v>
          </cell>
          <cell r="K419">
            <v>4</v>
          </cell>
          <cell r="L419">
            <v>32</v>
          </cell>
          <cell r="M419" t="str">
            <v>SI</v>
          </cell>
          <cell r="N419">
            <v>4</v>
          </cell>
          <cell r="O419">
            <v>3</v>
          </cell>
          <cell r="P419">
            <v>3</v>
          </cell>
          <cell r="Q419">
            <v>12</v>
          </cell>
          <cell r="R419">
            <v>9</v>
          </cell>
          <cell r="S419">
            <v>9</v>
          </cell>
          <cell r="T419">
            <v>1403.8443257131207</v>
          </cell>
          <cell r="U419">
            <v>1403.8443257131207</v>
          </cell>
          <cell r="V419">
            <v>1403.8443257131207</v>
          </cell>
          <cell r="W419">
            <v>16846.131908557451</v>
          </cell>
          <cell r="X419">
            <v>12634.598931418086</v>
          </cell>
          <cell r="Y419">
            <v>29480.730839975535</v>
          </cell>
          <cell r="Z419">
            <v>12634.598931418086</v>
          </cell>
          <cell r="AA419">
            <v>1403.8443257131207</v>
          </cell>
          <cell r="AB419">
            <v>19.97398901669203</v>
          </cell>
          <cell r="AC419">
            <v>32</v>
          </cell>
          <cell r="AD419">
            <v>225.04469880681663</v>
          </cell>
          <cell r="AE419">
            <v>362.06676317014995</v>
          </cell>
          <cell r="AF419">
            <v>73.57674663066669</v>
          </cell>
          <cell r="AG419">
            <v>103.98846857134228</v>
          </cell>
          <cell r="AH419" t="str">
            <v>Mecánica</v>
          </cell>
          <cell r="AI419">
            <v>1403.8443257131207</v>
          </cell>
          <cell r="AJ419">
            <v>32</v>
          </cell>
          <cell r="AK419">
            <v>43.870135178535023</v>
          </cell>
        </row>
        <row r="420">
          <cell r="A420" t="str">
            <v>C263</v>
          </cell>
          <cell r="B420" t="str">
            <v>COND</v>
          </cell>
          <cell r="C420" t="str">
            <v>WWOMMIM01060600200</v>
          </cell>
          <cell r="D420" t="str">
            <v>VENTANILLA, SANTA ROSA Y MALACAS</v>
          </cell>
          <cell r="E420" t="str">
            <v>DESMONTAJE Y MONTAJE ATEMPERADOR AP</v>
          </cell>
          <cell r="F420" t="str">
            <v xml:space="preserve">DESMONTAJE COMPLETO DEL ATEPERADOR AP, DESCONEXION ACESORIOS E INTRUMENTACIÓN, LIMPIEZA Y CONTROL MEDIDAS . CONTROL CON L.P. DE LOS INTERNOS. INSPECCIÓN SISTEMA DE ATEMPERACIÓN. SUSTITUCIÓN DE PIEZAS DESGASTADAS. REMONTAJE. SUSTITUCIÓN SELLOS. AJUSTE DE LA TORNILLERÍA. SE CONSIDERA: DESMONTAJE 40% REMONTAJE 60% </v>
          </cell>
          <cell r="G420" t="str">
            <v>MMIM0100</v>
          </cell>
          <cell r="H420" t="str">
            <v>NUM</v>
          </cell>
          <cell r="I420">
            <v>1</v>
          </cell>
          <cell r="J420">
            <v>27</v>
          </cell>
          <cell r="K420">
            <v>3</v>
          </cell>
          <cell r="L420">
            <v>81</v>
          </cell>
          <cell r="M420" t="str">
            <v>SI</v>
          </cell>
          <cell r="N420">
            <v>4</v>
          </cell>
          <cell r="O420">
            <v>3</v>
          </cell>
          <cell r="P420">
            <v>3</v>
          </cell>
          <cell r="Q420">
            <v>12</v>
          </cell>
          <cell r="R420">
            <v>9</v>
          </cell>
          <cell r="S420">
            <v>9</v>
          </cell>
          <cell r="T420">
            <v>3706.1341928321308</v>
          </cell>
          <cell r="U420">
            <v>3706.1341928321308</v>
          </cell>
          <cell r="V420">
            <v>3706.1341928321308</v>
          </cell>
          <cell r="W420">
            <v>44473.61031398557</v>
          </cell>
          <cell r="X420">
            <v>33355.207735489181</v>
          </cell>
          <cell r="Y420">
            <v>77828.81804947475</v>
          </cell>
          <cell r="Z420">
            <v>33355.207735489181</v>
          </cell>
          <cell r="AA420">
            <v>3706.1341928321308</v>
          </cell>
          <cell r="AB420">
            <v>21.533127692412709</v>
          </cell>
          <cell r="AC420">
            <v>81</v>
          </cell>
          <cell r="AD420">
            <v>572.34850702039273</v>
          </cell>
          <cell r="AE420">
            <v>920.83204999212569</v>
          </cell>
          <cell r="AF420">
            <v>194.24183400587685</v>
          </cell>
          <cell r="AG420">
            <v>274.52845872830602</v>
          </cell>
          <cell r="AH420" t="str">
            <v>Mecánica</v>
          </cell>
          <cell r="AI420">
            <v>3706.1341928321308</v>
          </cell>
          <cell r="AJ420">
            <v>81</v>
          </cell>
          <cell r="AK420">
            <v>45.75474312138433</v>
          </cell>
        </row>
        <row r="421">
          <cell r="A421" t="str">
            <v>C224</v>
          </cell>
          <cell r="B421" t="str">
            <v>COND</v>
          </cell>
          <cell r="C421" t="str">
            <v>WWOMMIM01060402300</v>
          </cell>
          <cell r="D421" t="str">
            <v>VENTANILLA, SANTA ROSA Y MALACAS</v>
          </cell>
          <cell r="E421" t="str">
            <v>REV VÁLVULA ANTIRRETORNO D&gt;2&lt;=4 IN</v>
          </cell>
          <cell r="F421" t="str">
            <v>DESMONTAJE COMPLETO DE LA VÁLVULA LIMPIEZA Y CONTROL MEDIDAS . CONTROL CON L.P. DE LOS INTERNOS. CONTROL EXCENTRICIDAD DEL ÁRBOL Y AJUSTE. RESTAURACIÓN DE ASIENTOS Y OBTURADOR. SUSTITUCIÓN DE PIEZAS DESGASTADAS. COMPROBACIÓN DEL CONTACTO CON AZUL DE PRUSIA (100%). REMONTAJE. SUSTITUCIÓN SELLOS. AJUSTE DE LA TORNILLERÍA</v>
          </cell>
          <cell r="G421" t="str">
            <v>MMIM0100</v>
          </cell>
          <cell r="H421" t="str">
            <v>NUM</v>
          </cell>
          <cell r="I421">
            <v>1</v>
          </cell>
          <cell r="J421">
            <v>6</v>
          </cell>
          <cell r="K421">
            <v>2</v>
          </cell>
          <cell r="L421">
            <v>12</v>
          </cell>
          <cell r="M421" t="str">
            <v>NO</v>
          </cell>
          <cell r="N421">
            <v>4</v>
          </cell>
          <cell r="O421">
            <v>3</v>
          </cell>
          <cell r="P421">
            <v>3</v>
          </cell>
          <cell r="Q421">
            <v>12</v>
          </cell>
          <cell r="R421">
            <v>9</v>
          </cell>
          <cell r="S421">
            <v>9</v>
          </cell>
          <cell r="T421">
            <v>539.07229130085079</v>
          </cell>
          <cell r="U421">
            <v>539.07229130085079</v>
          </cell>
          <cell r="V421">
            <v>539.07229130085079</v>
          </cell>
          <cell r="W421">
            <v>6468.8674956102095</v>
          </cell>
          <cell r="X421">
            <v>4851.6506217076567</v>
          </cell>
          <cell r="Y421">
            <v>11320.518117317866</v>
          </cell>
          <cell r="Z421">
            <v>4851.6506217076567</v>
          </cell>
          <cell r="AA421">
            <v>539.07229130085079</v>
          </cell>
          <cell r="AB421">
            <v>20.776439546856693</v>
          </cell>
          <cell r="AC421">
            <v>12</v>
          </cell>
          <cell r="AD421">
            <v>84.92980153783239</v>
          </cell>
          <cell r="AE421">
            <v>136.64066962040684</v>
          </cell>
          <cell r="AF421">
            <v>28.253264743231171</v>
          </cell>
          <cell r="AG421">
            <v>39.931280837100061</v>
          </cell>
          <cell r="AH421" t="str">
            <v>Mecánica</v>
          </cell>
          <cell r="AI421">
            <v>539.07229130085079</v>
          </cell>
          <cell r="AJ421">
            <v>12</v>
          </cell>
          <cell r="AK421">
            <v>44.922690941737564</v>
          </cell>
        </row>
        <row r="422">
          <cell r="A422" t="str">
            <v>C225</v>
          </cell>
          <cell r="B422" t="str">
            <v>COND</v>
          </cell>
          <cell r="C422" t="str">
            <v>WWOMMIM01060402400</v>
          </cell>
          <cell r="D422" t="str">
            <v>VENTANILLA, SANTA ROSA Y MALACAS</v>
          </cell>
          <cell r="E422" t="str">
            <v>REV VÁLVULA ANTIRRETORNO D&gt;4&lt;=10 IN</v>
          </cell>
          <cell r="F422" t="str">
            <v>DESMONTAJE COMPLETO DE LA VÁLVULA LIMPIEZA Y CONTROL MEDIDAS . CONTROL CON L.P. DE LOS INTERNOS. CONTROL EXCENTRICIDAD DEL ÁRBOL Y AJUSTE. RESTAURACIÓN DE ASIENTOS Y OBTURADOR. SUSTITUCIÓN DE PIEZAS DESGASTADAS. COMPROBACIÓN DEL CONTACTO CON AZUL DE PRUSIA (100%). REMONTAJE. SUSTITUCIÓN SELLOS. AJUSTE DE LA TORNILLERÍA</v>
          </cell>
          <cell r="G422" t="str">
            <v>MMIM0100</v>
          </cell>
          <cell r="H422" t="str">
            <v>NUM</v>
          </cell>
          <cell r="I422">
            <v>1</v>
          </cell>
          <cell r="J422">
            <v>8</v>
          </cell>
          <cell r="K422">
            <v>2</v>
          </cell>
          <cell r="L422">
            <v>16</v>
          </cell>
          <cell r="M422" t="str">
            <v>NO</v>
          </cell>
          <cell r="N422">
            <v>4</v>
          </cell>
          <cell r="O422">
            <v>3</v>
          </cell>
          <cell r="P422">
            <v>3</v>
          </cell>
          <cell r="Q422">
            <v>12</v>
          </cell>
          <cell r="R422">
            <v>9</v>
          </cell>
          <cell r="S422">
            <v>9</v>
          </cell>
          <cell r="T422">
            <v>718.76305506780091</v>
          </cell>
          <cell r="U422">
            <v>718.76305506780091</v>
          </cell>
          <cell r="V422">
            <v>718.76305506780091</v>
          </cell>
          <cell r="W422">
            <v>8625.1566608136109</v>
          </cell>
          <cell r="X422">
            <v>6468.8674956102077</v>
          </cell>
          <cell r="Y422">
            <v>15094.024156423819</v>
          </cell>
          <cell r="Z422">
            <v>6468.8674956102077</v>
          </cell>
          <cell r="AA422">
            <v>718.76305506780091</v>
          </cell>
          <cell r="AB422">
            <v>20.776439546856693</v>
          </cell>
          <cell r="AC422">
            <v>16</v>
          </cell>
          <cell r="AD422">
            <v>113.23973538377648</v>
          </cell>
          <cell r="AE422">
            <v>182.18755949387574</v>
          </cell>
          <cell r="AF422">
            <v>37.671019657641558</v>
          </cell>
          <cell r="AG422">
            <v>53.24170778280007</v>
          </cell>
          <cell r="AH422" t="str">
            <v>Mecánica</v>
          </cell>
          <cell r="AI422">
            <v>718.76305506780091</v>
          </cell>
          <cell r="AJ422">
            <v>16</v>
          </cell>
          <cell r="AK422">
            <v>44.922690941737557</v>
          </cell>
        </row>
        <row r="423">
          <cell r="A423" t="str">
            <v>C228</v>
          </cell>
          <cell r="B423" t="str">
            <v>COND</v>
          </cell>
          <cell r="C423" t="str">
            <v>WWOMMIM01060402200</v>
          </cell>
          <cell r="D423" t="str">
            <v>VENTANILLA, SANTA ROSA Y MALACAS</v>
          </cell>
          <cell r="E423" t="str">
            <v>REVISIÓN VÁLVULA ANTIRRETORNO D&lt;=2 IN</v>
          </cell>
          <cell r="F423" t="str">
            <v>DESMONTAJE COMPLETO DE LA VÁLVULA LIMPIEZA Y CONTROL MEDIDAS . CONTROL CON L.P. DE LOS INTERNOS. CONTROL EXCENTRICIDAD DEL ÁRBOL Y AJUSTE. RESTAURACIÓN DE ASIENTOS Y OBTURADOR. SUSTITUCIÓN DE PIEZAS DESGASTADAS. COMPROBACIÓN DEL CONTACTO CON AZUL DE PRUSIA (100%). REMONTAJE. SUSTITUCIÓN SELLOS. AJUSTE DE LA TORNILLERÍA</v>
          </cell>
          <cell r="G423" t="str">
            <v>MMIM0100</v>
          </cell>
          <cell r="H423" t="str">
            <v>NUM</v>
          </cell>
          <cell r="I423">
            <v>1</v>
          </cell>
          <cell r="J423">
            <v>6</v>
          </cell>
          <cell r="K423">
            <v>2</v>
          </cell>
          <cell r="L423">
            <v>12</v>
          </cell>
          <cell r="M423" t="str">
            <v>NO</v>
          </cell>
          <cell r="N423">
            <v>4</v>
          </cell>
          <cell r="O423">
            <v>3</v>
          </cell>
          <cell r="P423">
            <v>3</v>
          </cell>
          <cell r="Q423">
            <v>12</v>
          </cell>
          <cell r="R423">
            <v>9</v>
          </cell>
          <cell r="S423">
            <v>9</v>
          </cell>
          <cell r="T423">
            <v>509.84164855676374</v>
          </cell>
          <cell r="U423">
            <v>509.84164855676374</v>
          </cell>
          <cell r="V423">
            <v>509.84164855676374</v>
          </cell>
          <cell r="W423">
            <v>6118.0997826811654</v>
          </cell>
          <cell r="X423">
            <v>4588.574837010874</v>
          </cell>
          <cell r="Y423">
            <v>10706.674619692039</v>
          </cell>
          <cell r="Z423">
            <v>4588.574837010874</v>
          </cell>
          <cell r="AA423">
            <v>509.84164855676374</v>
          </cell>
          <cell r="AB423">
            <v>20.776439546856693</v>
          </cell>
          <cell r="AC423">
            <v>12</v>
          </cell>
          <cell r="AD423">
            <v>67.281055852468995</v>
          </cell>
          <cell r="AE423">
            <v>128.75600969423377</v>
          </cell>
          <cell r="AF423">
            <v>26.721260406538981</v>
          </cell>
          <cell r="AG423">
            <v>37.76604804124176</v>
          </cell>
          <cell r="AH423" t="str">
            <v>Mecánica</v>
          </cell>
          <cell r="AI423">
            <v>509.84164855676374</v>
          </cell>
          <cell r="AJ423">
            <v>12</v>
          </cell>
          <cell r="AK423">
            <v>42.486804046396976</v>
          </cell>
        </row>
        <row r="424">
          <cell r="A424" t="str">
            <v>C229</v>
          </cell>
          <cell r="B424" t="str">
            <v>COND</v>
          </cell>
          <cell r="C424" t="str">
            <v>WWOMMIM01060402500</v>
          </cell>
          <cell r="D424" t="str">
            <v>VENTANILLA, SANTA ROSA Y MALACAS</v>
          </cell>
          <cell r="E424" t="str">
            <v>REVISIÓN VÁLVULA ANTIRRETORNO D&gt;10 IN</v>
          </cell>
          <cell r="F424" t="str">
            <v>DESMONTAJE COMPLETO DE LA VÁLVULA LIMPIEZA Y CONTROL MEDIDAS . CONTROL CON L.P. DE LOS INTERNOS. CONTROL EXCENTRICIDAD DEL ÁRBOL Y AJUSTE. RESTAURACIÓN DE ASIENTOS Y OBTURADOR. SUSTITUCIÓN DE PIEZAS DESGASTADAS. COMPROBACIÓN DEL CONTACTO CON AZUL DE PRUSIA (100%). REMONTAJE. SUSTITUCIÓN SELLOS. AJUSTE DE LA TORNILLERÍA</v>
          </cell>
          <cell r="G424" t="str">
            <v>MMIM0100</v>
          </cell>
          <cell r="H424" t="str">
            <v>NUM</v>
          </cell>
          <cell r="I424">
            <v>1</v>
          </cell>
          <cell r="J424">
            <v>12.5</v>
          </cell>
          <cell r="K424">
            <v>2</v>
          </cell>
          <cell r="L424">
            <v>25</v>
          </cell>
          <cell r="M424" t="str">
            <v>NO</v>
          </cell>
          <cell r="N424">
            <v>4</v>
          </cell>
          <cell r="O424">
            <v>3</v>
          </cell>
          <cell r="P424">
            <v>3</v>
          </cell>
          <cell r="Q424">
            <v>12</v>
          </cell>
          <cell r="R424">
            <v>9</v>
          </cell>
          <cell r="S424">
            <v>9</v>
          </cell>
          <cell r="T424">
            <v>1123.0672735434393</v>
          </cell>
          <cell r="U424">
            <v>1123.0672735434393</v>
          </cell>
          <cell r="V424">
            <v>1123.0672735434393</v>
          </cell>
          <cell r="W424">
            <v>13476.807282521273</v>
          </cell>
          <cell r="X424">
            <v>10107.605461890955</v>
          </cell>
          <cell r="Y424">
            <v>23584.412744412228</v>
          </cell>
          <cell r="Z424">
            <v>10107.605461890955</v>
          </cell>
          <cell r="AA424">
            <v>1123.0672735434393</v>
          </cell>
          <cell r="AB424">
            <v>20.77643954685669</v>
          </cell>
          <cell r="AC424">
            <v>25</v>
          </cell>
          <cell r="AD424">
            <v>176.93708653715095</v>
          </cell>
          <cell r="AE424">
            <v>284.66806170918119</v>
          </cell>
          <cell r="AF424">
            <v>58.860968215064958</v>
          </cell>
          <cell r="AG424">
            <v>83.190168410625134</v>
          </cell>
          <cell r="AH424" t="str">
            <v>Mecánica</v>
          </cell>
          <cell r="AI424">
            <v>1123.0672735434393</v>
          </cell>
          <cell r="AJ424">
            <v>25</v>
          </cell>
          <cell r="AK424">
            <v>44.922690941737571</v>
          </cell>
        </row>
        <row r="425">
          <cell r="A425" t="str">
            <v>C216</v>
          </cell>
          <cell r="B425" t="str">
            <v>COND</v>
          </cell>
          <cell r="C425" t="str">
            <v>WWOMMIM01060403700</v>
          </cell>
          <cell r="D425" t="str">
            <v>VENTANILLA, SANTA ROSA Y MALACAS</v>
          </cell>
          <cell r="E425" t="str">
            <v>CAMBIO ASIENTO VÁLVULA D&lt;=2 IN</v>
          </cell>
          <cell r="F425" t="str">
            <v>DESMONTAJE ASIENTOS DE ESTANQUEIDAD EN EL CUERPO DE LA VÁLVULA. CONTROL Y LIMPIEZA DE LOS FILETEADOS DE MONTAJE DE LOS ASIENTOS SOBRE EL CUERPO, COMPROBACIÓN DE LA PRESENCIA DE EVENTUALES FUGAS DESDE EL PLANO DE APOYO DE LOS ASIENTOS. MONTAJE DE NUEVOS ASIENTOS. INCLUYE LA FABRICACIÓN DE ÚTILES PARA EXTRACCIÓN Y LOS MEDIOS NECESARIOS PARA EL RECTIFICADO MEDIANTE HERRAMIENTA PORTÁTIL ADECUADA</v>
          </cell>
          <cell r="G425" t="str">
            <v>MMIM0100</v>
          </cell>
          <cell r="H425" t="str">
            <v>NUM</v>
          </cell>
          <cell r="I425">
            <v>1</v>
          </cell>
          <cell r="J425">
            <v>12</v>
          </cell>
          <cell r="K425">
            <v>2</v>
          </cell>
          <cell r="L425">
            <v>24</v>
          </cell>
          <cell r="M425" t="str">
            <v>SI</v>
          </cell>
          <cell r="N425">
            <v>4</v>
          </cell>
          <cell r="O425">
            <v>3</v>
          </cell>
          <cell r="P425">
            <v>3</v>
          </cell>
          <cell r="Q425">
            <v>12</v>
          </cell>
          <cell r="R425">
            <v>9</v>
          </cell>
          <cell r="S425">
            <v>9</v>
          </cell>
          <cell r="T425">
            <v>1188.5750161699937</v>
          </cell>
          <cell r="U425">
            <v>1188.5750161699937</v>
          </cell>
          <cell r="V425">
            <v>1188.5750161699937</v>
          </cell>
          <cell r="W425">
            <v>14262.900194039925</v>
          </cell>
          <cell r="X425">
            <v>10697.175145529944</v>
          </cell>
          <cell r="Y425">
            <v>24960.07533956987</v>
          </cell>
          <cell r="Z425">
            <v>10697.175145529944</v>
          </cell>
          <cell r="AA425">
            <v>1188.5750161699937</v>
          </cell>
          <cell r="AB425">
            <v>24.651405043854066</v>
          </cell>
          <cell r="AC425">
            <v>24</v>
          </cell>
          <cell r="AD425">
            <v>171.18718025234725</v>
          </cell>
          <cell r="AE425">
            <v>275.41723301555487</v>
          </cell>
          <cell r="AF425">
            <v>62.29428805922398</v>
          </cell>
          <cell r="AG425">
            <v>88.042593790369907</v>
          </cell>
          <cell r="AH425" t="str">
            <v>Mecánica</v>
          </cell>
          <cell r="AI425">
            <v>1188.5750161699937</v>
          </cell>
          <cell r="AJ425">
            <v>24</v>
          </cell>
          <cell r="AK425">
            <v>49.523959007083072</v>
          </cell>
        </row>
        <row r="426">
          <cell r="A426" t="str">
            <v>C217</v>
          </cell>
          <cell r="B426" t="str">
            <v>COND</v>
          </cell>
          <cell r="C426" t="str">
            <v>WWOMMIM01060404000</v>
          </cell>
          <cell r="D426" t="str">
            <v>VENTANILLA, SANTA ROSA Y MALACAS</v>
          </cell>
          <cell r="E426" t="str">
            <v>CAMBIO ASIENTO VÁLVULA D&gt;10 IN</v>
          </cell>
          <cell r="F426" t="str">
            <v>DESMONTAJE ASIENTOS DE ESTANQUEIDAD EN EL CUERPO DE LA VÁLVULA. CONTROL Y LIMPIEZA DE LOS FILETEADOS DE MONTAJE DE LOS ASIENTOS SOBRE EL CUERPO, COMPROBACIÓN DE LA PRESENCIA DE EVENTUALES FUGAS DESDE EL PLANO DE APOYO DE LOS ASIENTOS. MONTAJE DE NUEVOS ASIENTOS. INCLUYE LA FABRICACIÓN DE ÚTILES PARA EXTRACCIÓN Y LOS MEDIOS NECESARIOS PARA EL RECTIFICADO MEDIANTE HERRAMIENTA PORTÁTIL ADECUADA</v>
          </cell>
          <cell r="G426" t="str">
            <v>MMIM0100</v>
          </cell>
          <cell r="H426" t="str">
            <v>NUM</v>
          </cell>
          <cell r="I426">
            <v>1</v>
          </cell>
          <cell r="J426">
            <v>12</v>
          </cell>
          <cell r="K426">
            <v>2</v>
          </cell>
          <cell r="L426">
            <v>24</v>
          </cell>
          <cell r="M426" t="str">
            <v>SI</v>
          </cell>
          <cell r="N426">
            <v>4</v>
          </cell>
          <cell r="O426">
            <v>3</v>
          </cell>
          <cell r="P426">
            <v>3</v>
          </cell>
          <cell r="Q426">
            <v>12</v>
          </cell>
          <cell r="R426">
            <v>9</v>
          </cell>
          <cell r="S426">
            <v>9</v>
          </cell>
          <cell r="T426">
            <v>1188.5750161699934</v>
          </cell>
          <cell r="U426">
            <v>1188.5750161699934</v>
          </cell>
          <cell r="V426">
            <v>1188.5750161699934</v>
          </cell>
          <cell r="W426">
            <v>14262.900194039921</v>
          </cell>
          <cell r="X426">
            <v>10697.175145529942</v>
          </cell>
          <cell r="Y426">
            <v>24960.075339569863</v>
          </cell>
          <cell r="Z426">
            <v>10697.175145529942</v>
          </cell>
          <cell r="AA426">
            <v>1188.5750161699934</v>
          </cell>
          <cell r="AB426">
            <v>24.651405043854066</v>
          </cell>
          <cell r="AC426">
            <v>24</v>
          </cell>
          <cell r="AD426">
            <v>171.18718025234713</v>
          </cell>
          <cell r="AE426">
            <v>275.4172330155547</v>
          </cell>
          <cell r="AF426">
            <v>62.294288059223966</v>
          </cell>
          <cell r="AG426">
            <v>88.042593790369878</v>
          </cell>
          <cell r="AH426" t="str">
            <v>Mecánica</v>
          </cell>
          <cell r="AI426">
            <v>1188.5750161699934</v>
          </cell>
          <cell r="AJ426">
            <v>24</v>
          </cell>
          <cell r="AK426">
            <v>49.523959007083057</v>
          </cell>
        </row>
        <row r="427">
          <cell r="A427" t="str">
            <v>C218</v>
          </cell>
          <cell r="B427" t="str">
            <v>COND</v>
          </cell>
          <cell r="C427" t="str">
            <v>WWOMMIM01060403800</v>
          </cell>
          <cell r="D427" t="str">
            <v>VENTANILLA, SANTA ROSA Y MALACAS</v>
          </cell>
          <cell r="E427" t="str">
            <v>CAMBIO ASIENTO VÁLVULA D&gt;2&lt;=4 IN</v>
          </cell>
          <cell r="F427" t="str">
            <v>DESMONTAJE ASIENTOS DE ESTANQUEIDAD EN EL CUERPO DE LA VÁLVULA. CONTROL Y LIMPIEZA DE LOS FILETEADOS DE MONTAJE DE LOS ASIENTOS SOBRE EL CUERPO, COMPROBACIÓN DE LA PRESENCIA DE EVENTUALES FUGAS DESDE EL PLANO DE APOYO DE LOS ASIENTOS. MONTAJE DE NUEVOS ASIENTOS. INCLUYE LA FABRICACIÓN DE ÚTILES PARA EXTRACCIÓN Y LOS MEDIOS NECESARIOS PARA EL RECTIFICADO MEDIANTE HERRAMIENTA PORTÁTIL ADECUADA</v>
          </cell>
          <cell r="G427" t="str">
            <v>MMIM0100</v>
          </cell>
          <cell r="H427" t="str">
            <v>NUM</v>
          </cell>
          <cell r="I427">
            <v>1</v>
          </cell>
          <cell r="J427">
            <v>8</v>
          </cell>
          <cell r="K427">
            <v>2</v>
          </cell>
          <cell r="L427">
            <v>16</v>
          </cell>
          <cell r="M427" t="str">
            <v>SI</v>
          </cell>
          <cell r="N427">
            <v>4</v>
          </cell>
          <cell r="O427">
            <v>3</v>
          </cell>
          <cell r="P427">
            <v>3</v>
          </cell>
          <cell r="Q427">
            <v>12</v>
          </cell>
          <cell r="R427">
            <v>9</v>
          </cell>
          <cell r="S427">
            <v>9</v>
          </cell>
          <cell r="T427">
            <v>792.38334411332869</v>
          </cell>
          <cell r="U427">
            <v>792.38334411332869</v>
          </cell>
          <cell r="V427">
            <v>792.38334411332869</v>
          </cell>
          <cell r="W427">
            <v>9508.6001293599438</v>
          </cell>
          <cell r="X427">
            <v>7131.4500970199579</v>
          </cell>
          <cell r="Y427">
            <v>16640.050226379903</v>
          </cell>
          <cell r="Z427">
            <v>7131.4500970199579</v>
          </cell>
          <cell r="AA427">
            <v>792.38334411332869</v>
          </cell>
          <cell r="AB427">
            <v>24.651405043854062</v>
          </cell>
          <cell r="AC427">
            <v>16</v>
          </cell>
          <cell r="AD427">
            <v>114.12478683489806</v>
          </cell>
          <cell r="AE427">
            <v>183.61148867703642</v>
          </cell>
          <cell r="AF427">
            <v>41.529525372815961</v>
          </cell>
          <cell r="AG427">
            <v>58.695062526913233</v>
          </cell>
          <cell r="AH427" t="str">
            <v>Mecánica</v>
          </cell>
          <cell r="AI427">
            <v>792.38334411332869</v>
          </cell>
          <cell r="AJ427">
            <v>16</v>
          </cell>
          <cell r="AK427">
            <v>49.523959007083043</v>
          </cell>
        </row>
        <row r="428">
          <cell r="A428" t="str">
            <v>C219</v>
          </cell>
          <cell r="B428" t="str">
            <v>COND</v>
          </cell>
          <cell r="C428" t="str">
            <v>WWOMMIM01060403900</v>
          </cell>
          <cell r="D428" t="str">
            <v>VENTANILLA, SANTA ROSA Y MALACAS</v>
          </cell>
          <cell r="E428" t="str">
            <v>CAMBIO ASIENTO VÁLVULA D&gt;4&lt;=10 IN</v>
          </cell>
          <cell r="F428" t="str">
            <v>DESMONTAJE ASIENTOS DE ESTANQUEIDAD EN EL CUERPO DE LA VÁLVULA. CONTROL Y LIMPIEZA DE LOS FILETEADOS DE MONTAJE DE LOS ASIENTOS SOBRE EL CUERPO, COMPROBACIÓN DE LA PRESENCIA DE EVENTUALES FUGAS DESDE EL PLANO DE APOYO DE LOS ASIENTOS. MONTAJE DE NUEVOS ASIENTOS. INCLUYE LA FABRICACIÓN DE ÚTILES PARA EXTRACCIÓN Y LOS MEDIOS NECESARIOS PARA EL RECTIFICADO MEDIANTE HERRAMIENTA PORTÁTIL ADECUADA</v>
          </cell>
          <cell r="G428" t="str">
            <v>MMIM0100</v>
          </cell>
          <cell r="H428" t="str">
            <v>NUM</v>
          </cell>
          <cell r="I428">
            <v>1</v>
          </cell>
          <cell r="J428">
            <v>8</v>
          </cell>
          <cell r="K428">
            <v>2</v>
          </cell>
          <cell r="L428">
            <v>16</v>
          </cell>
          <cell r="M428" t="str">
            <v>NO</v>
          </cell>
          <cell r="N428">
            <v>4</v>
          </cell>
          <cell r="O428">
            <v>3</v>
          </cell>
          <cell r="P428">
            <v>3</v>
          </cell>
          <cell r="Q428">
            <v>12</v>
          </cell>
          <cell r="R428">
            <v>9</v>
          </cell>
          <cell r="S428">
            <v>9</v>
          </cell>
          <cell r="T428">
            <v>792.38334411332789</v>
          </cell>
          <cell r="U428">
            <v>792.38334411332789</v>
          </cell>
          <cell r="V428">
            <v>792.38334411332789</v>
          </cell>
          <cell r="W428">
            <v>9508.6001293599347</v>
          </cell>
          <cell r="X428">
            <v>7131.4500970199515</v>
          </cell>
          <cell r="Y428">
            <v>16640.050226379884</v>
          </cell>
          <cell r="Z428">
            <v>7131.4500970199515</v>
          </cell>
          <cell r="AA428">
            <v>792.38334411332789</v>
          </cell>
          <cell r="AB428">
            <v>24.651405043854062</v>
          </cell>
          <cell r="AC428">
            <v>16</v>
          </cell>
          <cell r="AD428">
            <v>114.12478683489783</v>
          </cell>
          <cell r="AE428">
            <v>183.61148867703605</v>
          </cell>
          <cell r="AF428">
            <v>41.529525372815932</v>
          </cell>
          <cell r="AG428">
            <v>58.695062526913183</v>
          </cell>
          <cell r="AH428" t="str">
            <v>Mecánica</v>
          </cell>
          <cell r="AI428">
            <v>792.38334411332789</v>
          </cell>
          <cell r="AJ428">
            <v>16</v>
          </cell>
          <cell r="AK428">
            <v>49.523959007082993</v>
          </cell>
        </row>
        <row r="429">
          <cell r="A429" t="str">
            <v>C238</v>
          </cell>
          <cell r="B429" t="str">
            <v>COND</v>
          </cell>
          <cell r="C429" t="str">
            <v>WWOMMIM01060402600</v>
          </cell>
          <cell r="D429" t="str">
            <v>VENTANILLA, SANTA ROSA Y MALACAS</v>
          </cell>
          <cell r="E429" t="str">
            <v>REVISIÓN VÁLVULA MARIPOSA D&lt;=2 IN</v>
          </cell>
          <cell r="F429" t="str">
            <v>DESMON VÁLVULA MARIPOSA, EXTRACCIÓN VÁSTAGO Y OBTURADOR. CONSTRUCCIÓN ÚTILES NECESARIOS PARA DESMONTAR INTERNOS. RESTAURACIÓN ASIENTOS Y OBTURADOR MEDIANTE ESMERILADO/MÁQUINAS HERRAMIENTAS. PULIDO VÁSTAGO. SUSTITUCIÓN DE PIEZAS DESGASTADAS Y FABRICACIÓN CONSTRUCCIÓN DE LAS JUNTAS. COMPROBACIÓN CONTACTO ASIENTOS/OBTURADOR. REMONTAJE DE LA VÁLVULA Y EMPAQUETADURA</v>
          </cell>
          <cell r="G429" t="str">
            <v>MMIM0100</v>
          </cell>
          <cell r="H429" t="str">
            <v>NUM</v>
          </cell>
          <cell r="I429">
            <v>1</v>
          </cell>
          <cell r="J429">
            <v>5</v>
          </cell>
          <cell r="K429">
            <v>2</v>
          </cell>
          <cell r="L429">
            <v>10</v>
          </cell>
          <cell r="M429" t="str">
            <v>NO</v>
          </cell>
          <cell r="N429">
            <v>4</v>
          </cell>
          <cell r="O429">
            <v>3</v>
          </cell>
          <cell r="P429">
            <v>3</v>
          </cell>
          <cell r="Q429">
            <v>12</v>
          </cell>
          <cell r="R429">
            <v>9</v>
          </cell>
          <cell r="S429">
            <v>9</v>
          </cell>
          <cell r="T429">
            <v>449.22690941737528</v>
          </cell>
          <cell r="U429">
            <v>449.22690941737528</v>
          </cell>
          <cell r="V429">
            <v>449.22690941737528</v>
          </cell>
          <cell r="W429">
            <v>5390.7229130085034</v>
          </cell>
          <cell r="X429">
            <v>4043.0421847563775</v>
          </cell>
          <cell r="Y429">
            <v>9433.7650977648809</v>
          </cell>
          <cell r="Z429">
            <v>4043.0421847563775</v>
          </cell>
          <cell r="AA429">
            <v>449.22690941737528</v>
          </cell>
          <cell r="AB429">
            <v>20.776439546856693</v>
          </cell>
          <cell r="AC429">
            <v>10</v>
          </cell>
          <cell r="AD429">
            <v>70.774834614860211</v>
          </cell>
          <cell r="AE429">
            <v>113.86722468367218</v>
          </cell>
          <cell r="AF429">
            <v>23.544387286025959</v>
          </cell>
          <cell r="AG429">
            <v>33.276067364250018</v>
          </cell>
          <cell r="AH429" t="str">
            <v>Mecánica</v>
          </cell>
          <cell r="AI429">
            <v>449.22690941737528</v>
          </cell>
          <cell r="AJ429">
            <v>10</v>
          </cell>
          <cell r="AK429">
            <v>44.922690941737528</v>
          </cell>
        </row>
        <row r="430">
          <cell r="A430" t="str">
            <v>C239</v>
          </cell>
          <cell r="B430" t="str">
            <v>COND</v>
          </cell>
          <cell r="C430" t="str">
            <v>WWOMMIM01060402900</v>
          </cell>
          <cell r="D430" t="str">
            <v>VENTANILLA, SANTA ROSA Y MALACAS</v>
          </cell>
          <cell r="E430" t="str">
            <v>REVISIÓN VÁLVULA MARIPOSA D&gt;10 IN</v>
          </cell>
          <cell r="F430" t="str">
            <v>DESMON VÁLVULA MARIPOSA, EXTRACCIÓN VÁSTAGO Y OBTURADOR. CONSTRUCCIÓN ÚTILES NECESARIOS PARA DESMONTAR INTERNOS. RESTAURACIÓN ASIENTOS Y OBTURADOR MEDIANTE ESMERILADO/MÁQUINAS HERRAMIENTAS. PULIDO VÁSTAGO. SUSTITUCIÓN DE PIEZAS DESGASTADAS Y FABRICACIÓN CONSTRUCCIÓN DE LAS JUNTAS. COMPROBACIÓN CONTACTO ASIENTOS/OBTURADOR. REMONTAJE DE LA VÁLVULA Y EMPAQUETADURA</v>
          </cell>
          <cell r="G430" t="str">
            <v>MMIM0100</v>
          </cell>
          <cell r="H430" t="str">
            <v>NUM</v>
          </cell>
          <cell r="I430">
            <v>1</v>
          </cell>
          <cell r="J430">
            <v>7.5</v>
          </cell>
          <cell r="K430">
            <v>2</v>
          </cell>
          <cell r="L430">
            <v>15</v>
          </cell>
          <cell r="M430" t="str">
            <v>NO</v>
          </cell>
          <cell r="N430">
            <v>4</v>
          </cell>
          <cell r="O430">
            <v>3</v>
          </cell>
          <cell r="P430">
            <v>3</v>
          </cell>
          <cell r="Q430">
            <v>12</v>
          </cell>
          <cell r="R430">
            <v>9</v>
          </cell>
          <cell r="S430">
            <v>9</v>
          </cell>
          <cell r="T430">
            <v>673.84036412606395</v>
          </cell>
          <cell r="U430">
            <v>673.84036412606395</v>
          </cell>
          <cell r="V430">
            <v>673.84036412606395</v>
          </cell>
          <cell r="W430">
            <v>8086.0843695127678</v>
          </cell>
          <cell r="X430">
            <v>6064.5632771345754</v>
          </cell>
          <cell r="Y430">
            <v>14150.647646647343</v>
          </cell>
          <cell r="Z430">
            <v>6064.5632771345754</v>
          </cell>
          <cell r="AA430">
            <v>673.84036412606395</v>
          </cell>
          <cell r="AB430">
            <v>20.776439546856693</v>
          </cell>
          <cell r="AC430">
            <v>15</v>
          </cell>
          <cell r="AD430">
            <v>106.16225192229062</v>
          </cell>
          <cell r="AE430">
            <v>170.80083702550877</v>
          </cell>
          <cell r="AF430">
            <v>35.316580929038992</v>
          </cell>
          <cell r="AG430">
            <v>49.914101046375109</v>
          </cell>
          <cell r="AH430" t="str">
            <v>Mecánica</v>
          </cell>
          <cell r="AI430">
            <v>673.84036412606395</v>
          </cell>
          <cell r="AJ430">
            <v>15</v>
          </cell>
          <cell r="AK430">
            <v>44.922690941737599</v>
          </cell>
        </row>
        <row r="431">
          <cell r="A431" t="str">
            <v>C240</v>
          </cell>
          <cell r="B431" t="str">
            <v>COND</v>
          </cell>
          <cell r="C431" t="str">
            <v>WWOMMIM01060402700</v>
          </cell>
          <cell r="D431" t="str">
            <v>VENTANILLA, SANTA ROSA Y MALACAS</v>
          </cell>
          <cell r="E431" t="str">
            <v>REVISIÓN VÁLVULA MARIPOSA D&gt;2Y&lt;=4 IN</v>
          </cell>
          <cell r="F431" t="str">
            <v>DESMON VÁLVULA MARIPOSA, EXTRACCIÓN VÁSTAGO Y OBTURADOR. CONSTRUCCIÓN ÚTILES NECESARIOS PARA DESMONTAR INTERNOS. RESTAURACIÓN ASIENTOS Y OBTURADOR MEDIANTE ESMERILADO/MÁQUINAS HERRAMIENTAS. PULIDO VÁSTAGO. SUSTITUCIÓN DE PIEZAS DESGASTADAS Y FABRICACIÓN CONSTRUCCIÓN DE LAS JUNTAS. COMPROBACIÓN CONTACTO ASIENTOS/OBTURADOR. REMONTAJE DE LA VÁLVULA Y EMPAQUETADURA</v>
          </cell>
          <cell r="G431" t="str">
            <v>MMIM0100</v>
          </cell>
          <cell r="H431" t="str">
            <v>NUM</v>
          </cell>
          <cell r="I431">
            <v>1</v>
          </cell>
          <cell r="J431">
            <v>6</v>
          </cell>
          <cell r="K431">
            <v>2</v>
          </cell>
          <cell r="L431">
            <v>12</v>
          </cell>
          <cell r="M431" t="str">
            <v>NO</v>
          </cell>
          <cell r="N431">
            <v>4</v>
          </cell>
          <cell r="O431">
            <v>3</v>
          </cell>
          <cell r="P431">
            <v>3</v>
          </cell>
          <cell r="Q431">
            <v>12</v>
          </cell>
          <cell r="R431">
            <v>9</v>
          </cell>
          <cell r="S431">
            <v>9</v>
          </cell>
          <cell r="T431">
            <v>539.07229130085079</v>
          </cell>
          <cell r="U431">
            <v>539.07229130085079</v>
          </cell>
          <cell r="V431">
            <v>539.07229130085079</v>
          </cell>
          <cell r="W431">
            <v>6468.8674956102095</v>
          </cell>
          <cell r="X431">
            <v>4851.6506217076567</v>
          </cell>
          <cell r="Y431">
            <v>11320.518117317866</v>
          </cell>
          <cell r="Z431">
            <v>4851.6506217076567</v>
          </cell>
          <cell r="AA431">
            <v>539.07229130085079</v>
          </cell>
          <cell r="AB431">
            <v>20.776439546856693</v>
          </cell>
          <cell r="AC431">
            <v>12</v>
          </cell>
          <cell r="AD431">
            <v>84.92980153783239</v>
          </cell>
          <cell r="AE431">
            <v>136.64066962040684</v>
          </cell>
          <cell r="AF431">
            <v>28.253264743231171</v>
          </cell>
          <cell r="AG431">
            <v>39.931280837100061</v>
          </cell>
          <cell r="AH431" t="str">
            <v>Mecánica</v>
          </cell>
          <cell r="AI431">
            <v>539.07229130085079</v>
          </cell>
          <cell r="AJ431">
            <v>12</v>
          </cell>
          <cell r="AK431">
            <v>44.922690941737564</v>
          </cell>
        </row>
        <row r="432">
          <cell r="A432" t="str">
            <v>C241</v>
          </cell>
          <cell r="B432" t="str">
            <v>COND</v>
          </cell>
          <cell r="C432" t="str">
            <v>WWOMMIM01060402800</v>
          </cell>
          <cell r="D432" t="str">
            <v>VENTANILLA, SANTA ROSA Y MALACAS</v>
          </cell>
          <cell r="E432" t="str">
            <v>REVISIÓN VÁLVULA MARIPOSA D&gt;4&lt;=10 IN</v>
          </cell>
          <cell r="F432" t="str">
            <v>DESMON VÁLVULA MARIPOSA, EXTRACCIÓN VÁSTAGO Y OBTURADOR. CONSTRUCCIÓN ÚTILES NECESARIOS PARA DESMONTAR INTERNOS. RESTAURACIÓN ASIENTOS Y OBTURADOR MEDIANTE ESMERILADO/MÁQUINAS HERRAMIENTAS. PULIDO VÁSTAGO. SUSTITUCIÓN DE PIEZAS DESGASTADAS Y FABRICACIÓN CONSTRUCCIÓN DE LAS JUNTAS. COMPROBACIÓN CONTACTO ASIENTOS/OBTURADOR. REMONTAJE DE LA VÁLVULA Y EMPAQUETADURA</v>
          </cell>
          <cell r="G432" t="str">
            <v>MMIM0100</v>
          </cell>
          <cell r="H432" t="str">
            <v>NUM</v>
          </cell>
          <cell r="I432">
            <v>1</v>
          </cell>
          <cell r="J432">
            <v>7.5</v>
          </cell>
          <cell r="K432">
            <v>2</v>
          </cell>
          <cell r="L432">
            <v>15</v>
          </cell>
          <cell r="M432" t="str">
            <v>NO</v>
          </cell>
          <cell r="N432">
            <v>4</v>
          </cell>
          <cell r="O432">
            <v>3</v>
          </cell>
          <cell r="P432">
            <v>3</v>
          </cell>
          <cell r="Q432">
            <v>12</v>
          </cell>
          <cell r="R432">
            <v>9</v>
          </cell>
          <cell r="S432">
            <v>9</v>
          </cell>
          <cell r="T432">
            <v>673.84036412606326</v>
          </cell>
          <cell r="U432">
            <v>673.84036412606326</v>
          </cell>
          <cell r="V432">
            <v>673.84036412606326</v>
          </cell>
          <cell r="W432">
            <v>8086.0843695127587</v>
          </cell>
          <cell r="X432">
            <v>6064.563277134569</v>
          </cell>
          <cell r="Y432">
            <v>14150.647646647329</v>
          </cell>
          <cell r="Z432">
            <v>6064.563277134569</v>
          </cell>
          <cell r="AA432">
            <v>673.84036412606326</v>
          </cell>
          <cell r="AB432">
            <v>20.776439546856693</v>
          </cell>
          <cell r="AC432">
            <v>15</v>
          </cell>
          <cell r="AD432">
            <v>106.16225192229041</v>
          </cell>
          <cell r="AE432">
            <v>170.80083702550843</v>
          </cell>
          <cell r="AF432">
            <v>35.316580929038949</v>
          </cell>
          <cell r="AG432">
            <v>49.914101046375052</v>
          </cell>
          <cell r="AH432" t="str">
            <v>Mecánica</v>
          </cell>
          <cell r="AI432">
            <v>673.84036412606326</v>
          </cell>
          <cell r="AJ432">
            <v>15</v>
          </cell>
          <cell r="AK432">
            <v>44.92269094173755</v>
          </cell>
        </row>
        <row r="433">
          <cell r="A433" t="str">
            <v>C234</v>
          </cell>
          <cell r="B433" t="str">
            <v>COND</v>
          </cell>
          <cell r="C433" t="str">
            <v>WWOMMIM01060401300</v>
          </cell>
          <cell r="D433" t="str">
            <v>VENTANILLA, SANTA ROSA Y MALACAS</v>
          </cell>
          <cell r="E433" t="str">
            <v>REVISIÓN VÁLVULA GLOBO/COMP D&lt;=2 IN</v>
          </cell>
          <cell r="F433" t="str">
            <v>DESMON VÁLVULA GLOBO/COMPUERTA, EXTRACCIÓN VÁSTAGO Y OBTURADOR. CONSTRUCCIÓN ÚTILES NECESARIOS PARA DESMONTAR INTERNOS. RESTAURACIÓN ASIENTOS Y OBTURADOR MEDIANTE ESMERILADO/MÁQUINAS HERRAMIENTAS. PULIDO VÁSTAGO. SUSTITUCIÓN DE PIEZAS DESGASTADAS Y FABRICACIÓN CONSTRUCCIÓN DE LAS JUNTAS. COMPROBACIÓN CONTACTO ASIENTOS/OBTURADOR/SELLO CON AZUL DE PRUSIA. REMONTAJE DE LA VÁLVULA Y EMPAQUETADURA</v>
          </cell>
          <cell r="G433" t="str">
            <v>MMIM0100</v>
          </cell>
          <cell r="H433" t="str">
            <v>NUM</v>
          </cell>
          <cell r="I433">
            <v>1</v>
          </cell>
          <cell r="J433">
            <v>5</v>
          </cell>
          <cell r="K433">
            <v>2</v>
          </cell>
          <cell r="L433">
            <v>10</v>
          </cell>
          <cell r="M433" t="str">
            <v>NO</v>
          </cell>
          <cell r="N433">
            <v>4</v>
          </cell>
          <cell r="O433">
            <v>3</v>
          </cell>
          <cell r="P433">
            <v>3</v>
          </cell>
          <cell r="Q433">
            <v>12</v>
          </cell>
          <cell r="R433">
            <v>9</v>
          </cell>
          <cell r="S433">
            <v>9</v>
          </cell>
          <cell r="T433">
            <v>449.22690941737528</v>
          </cell>
          <cell r="U433">
            <v>449.22690941737528</v>
          </cell>
          <cell r="V433">
            <v>449.22690941737528</v>
          </cell>
          <cell r="W433">
            <v>5390.7229130085034</v>
          </cell>
          <cell r="X433">
            <v>4043.0421847563775</v>
          </cell>
          <cell r="Y433">
            <v>9433.7650977648809</v>
          </cell>
          <cell r="Z433">
            <v>4043.0421847563775</v>
          </cell>
          <cell r="AA433">
            <v>449.22690941737528</v>
          </cell>
          <cell r="AB433">
            <v>20.776439546856693</v>
          </cell>
          <cell r="AC433">
            <v>10</v>
          </cell>
          <cell r="AD433">
            <v>70.774834614860211</v>
          </cell>
          <cell r="AE433">
            <v>113.86722468367218</v>
          </cell>
          <cell r="AF433">
            <v>23.544387286025959</v>
          </cell>
          <cell r="AG433">
            <v>33.276067364250018</v>
          </cell>
          <cell r="AH433" t="str">
            <v>Mecánica</v>
          </cell>
          <cell r="AI433">
            <v>449.22690941737528</v>
          </cell>
          <cell r="AJ433">
            <v>10</v>
          </cell>
          <cell r="AK433">
            <v>44.922690941737528</v>
          </cell>
        </row>
        <row r="434">
          <cell r="A434" t="str">
            <v>C235</v>
          </cell>
          <cell r="B434" t="str">
            <v>COND</v>
          </cell>
          <cell r="C434" t="str">
            <v>WWOMMIM01060401600</v>
          </cell>
          <cell r="D434" t="str">
            <v>VENTANILLA, SANTA ROSA Y MALACAS</v>
          </cell>
          <cell r="E434" t="str">
            <v>REVISIÓN VÁLVULA GLOBO/COMP D&gt;10 IN</v>
          </cell>
          <cell r="F434" t="str">
            <v>DESMON VÁLVULA GLOBO/COMPUERTA, EXTRACCIÓN VÁSTAGO Y OBTURADOR. CONSTRUCCIÓN ÚTILES NECESARIOS PARA DESMONTAR INTERNOS. RESTAURACIÓN ASIENTOS Y OBTURADOR MEDIANTE ESMERILADO/MÁQUINAS HERRAMIENTAS. PULIDO VÁSTAGO. SUSTITUCIÓN DE PIEZAS DESGASTADAS Y FABRICACIÓN CONSTRUCCIÓN DE LAS JUNTAS. COMPROBACIÓN CONTACTO ASIENTOS/OBTURADOR/SELLO CON AZUL DE PRUSIA. REMONTAJE DE LA VÁLVULA Y EMPAQUETADURA</v>
          </cell>
          <cell r="G434" t="str">
            <v>MMIM0100</v>
          </cell>
          <cell r="H434" t="str">
            <v>NUM</v>
          </cell>
          <cell r="I434">
            <v>1</v>
          </cell>
          <cell r="J434">
            <v>10</v>
          </cell>
          <cell r="K434">
            <v>2</v>
          </cell>
          <cell r="L434">
            <v>20</v>
          </cell>
          <cell r="M434" t="str">
            <v>NO</v>
          </cell>
          <cell r="N434">
            <v>4</v>
          </cell>
          <cell r="O434">
            <v>3</v>
          </cell>
          <cell r="P434">
            <v>3</v>
          </cell>
          <cell r="Q434">
            <v>12</v>
          </cell>
          <cell r="R434">
            <v>9</v>
          </cell>
          <cell r="S434">
            <v>9</v>
          </cell>
          <cell r="T434">
            <v>898.45381883475056</v>
          </cell>
          <cell r="U434">
            <v>898.45381883475056</v>
          </cell>
          <cell r="V434">
            <v>898.45381883475056</v>
          </cell>
          <cell r="W434">
            <v>10781.445826017007</v>
          </cell>
          <cell r="X434">
            <v>8086.0843695127551</v>
          </cell>
          <cell r="Y434">
            <v>18867.530195529762</v>
          </cell>
          <cell r="Z434">
            <v>8086.0843695127551</v>
          </cell>
          <cell r="AA434">
            <v>898.45381883475056</v>
          </cell>
          <cell r="AB434">
            <v>20.776439546856693</v>
          </cell>
          <cell r="AC434">
            <v>20</v>
          </cell>
          <cell r="AD434">
            <v>141.54966922972042</v>
          </cell>
          <cell r="AE434">
            <v>227.73444936734435</v>
          </cell>
          <cell r="AF434">
            <v>47.088774572051918</v>
          </cell>
          <cell r="AG434">
            <v>66.552134728500036</v>
          </cell>
          <cell r="AH434" t="str">
            <v>Mecánica</v>
          </cell>
          <cell r="AI434">
            <v>898.45381883475056</v>
          </cell>
          <cell r="AJ434">
            <v>20</v>
          </cell>
          <cell r="AK434">
            <v>44.922690941737528</v>
          </cell>
        </row>
        <row r="435">
          <cell r="A435" t="str">
            <v>C236</v>
          </cell>
          <cell r="B435" t="str">
            <v>COND</v>
          </cell>
          <cell r="C435" t="str">
            <v>WWOMMIM01060401400</v>
          </cell>
          <cell r="D435" t="str">
            <v>VENTANILLA, SANTA ROSA Y MALACAS</v>
          </cell>
          <cell r="E435" t="str">
            <v>REVISIÓN VÁLVULA GLOBO/COMP D&gt;2&lt;=4 IN</v>
          </cell>
          <cell r="F435" t="str">
            <v>DESMON VÁLVULA GLOBO/COMPUERTA, EXTRACCIÓN VÁSTAGO Y OBTURADOR. CONSTRUCCIÓN ÚTILES NECESARIOS PARA DESMONTAR INTERNOS. RESTAURACIÓN ASIENTOS Y OBTURADOR MEDIANTE ESMERILADO/MÁQUINAS HERRAMIENTAS. PULIDO VÁSTAGO. SUSTITUCIÓN DE PIEZAS DESGASTADAS Y FABRICACIÓN CONSTRUCCIÓN DE LAS JUNTAS. COMPROBACIÓN CONTACTO ASIENTOS/OBTURADOR/SELLO CON AZUL DE PRUSIA. REMONTAJE DE LA VÁLVULA Y EMPAQUETADURA</v>
          </cell>
          <cell r="G435" t="str">
            <v>MMIM0100</v>
          </cell>
          <cell r="H435" t="str">
            <v>NUM</v>
          </cell>
          <cell r="I435">
            <v>1</v>
          </cell>
          <cell r="J435">
            <v>7.5</v>
          </cell>
          <cell r="K435">
            <v>2</v>
          </cell>
          <cell r="L435">
            <v>15</v>
          </cell>
          <cell r="M435" t="str">
            <v>NO</v>
          </cell>
          <cell r="N435">
            <v>4</v>
          </cell>
          <cell r="O435">
            <v>3</v>
          </cell>
          <cell r="P435">
            <v>3</v>
          </cell>
          <cell r="Q435">
            <v>12</v>
          </cell>
          <cell r="R435">
            <v>9</v>
          </cell>
          <cell r="S435">
            <v>9</v>
          </cell>
          <cell r="T435">
            <v>673.84036412606326</v>
          </cell>
          <cell r="U435">
            <v>673.84036412606326</v>
          </cell>
          <cell r="V435">
            <v>673.84036412606326</v>
          </cell>
          <cell r="W435">
            <v>8086.0843695127587</v>
          </cell>
          <cell r="X435">
            <v>6064.563277134569</v>
          </cell>
          <cell r="Y435">
            <v>14150.647646647329</v>
          </cell>
          <cell r="Z435">
            <v>6064.563277134569</v>
          </cell>
          <cell r="AA435">
            <v>673.84036412606326</v>
          </cell>
          <cell r="AB435">
            <v>20.776439546856693</v>
          </cell>
          <cell r="AC435">
            <v>15</v>
          </cell>
          <cell r="AD435">
            <v>106.16225192229041</v>
          </cell>
          <cell r="AE435">
            <v>170.80083702550843</v>
          </cell>
          <cell r="AF435">
            <v>35.316580929038949</v>
          </cell>
          <cell r="AG435">
            <v>49.914101046375052</v>
          </cell>
          <cell r="AH435" t="str">
            <v>Mecánica</v>
          </cell>
          <cell r="AI435">
            <v>673.84036412606326</v>
          </cell>
          <cell r="AJ435">
            <v>15</v>
          </cell>
          <cell r="AK435">
            <v>44.92269094173755</v>
          </cell>
        </row>
        <row r="436">
          <cell r="A436" t="str">
            <v>C237</v>
          </cell>
          <cell r="B436" t="str">
            <v>COND</v>
          </cell>
          <cell r="C436" t="str">
            <v>WWOMMIM01060401500</v>
          </cell>
          <cell r="D436" t="str">
            <v>VENTANILLA, SANTA ROSA Y MALACAS</v>
          </cell>
          <cell r="E436" t="str">
            <v>REVISIÓN VÁLVULA GLOBO/COMP D&gt;4&lt;=10 IN</v>
          </cell>
          <cell r="F436" t="str">
            <v>DESMON VÁLVULA GLOBO/COMPUERTA, EXTRACCIÓN VÁSTAGO Y OBTURADOR. CONSTRUCCIÓN ÚTILES NECESARIOS PARA DESMONTAR INTERNOS. RESTAURACIÓN ASIENTOS Y OBTURADOR MEDIANTE ESMERILADO/MÁQUINAS HERRAMIENTAS. PULIDO VÁSTAGO. SUSTITUCIÓN DE PIEZAS DESGASTADAS Y FABRICACIÓN CONSTRUCCIÓN DE LAS JUNTAS. COMPROBACIÓN CONTACTO ASIENTOS/OBTURADOR/SELLO CON AZUL DE PRUSIA. REMONTAJE DE LA VÁLVULA Y EMPAQUETADURA</v>
          </cell>
          <cell r="G436" t="str">
            <v>MMIM0100</v>
          </cell>
          <cell r="H436" t="str">
            <v>NUM</v>
          </cell>
          <cell r="I436">
            <v>1</v>
          </cell>
          <cell r="J436">
            <v>7.5</v>
          </cell>
          <cell r="K436">
            <v>2</v>
          </cell>
          <cell r="L436">
            <v>15</v>
          </cell>
          <cell r="M436" t="str">
            <v>NO</v>
          </cell>
          <cell r="N436">
            <v>4</v>
          </cell>
          <cell r="O436">
            <v>3</v>
          </cell>
          <cell r="P436">
            <v>3</v>
          </cell>
          <cell r="Q436">
            <v>12</v>
          </cell>
          <cell r="R436">
            <v>9</v>
          </cell>
          <cell r="S436">
            <v>9</v>
          </cell>
          <cell r="T436">
            <v>673.84036412606395</v>
          </cell>
          <cell r="U436">
            <v>673.84036412606395</v>
          </cell>
          <cell r="V436">
            <v>673.84036412606395</v>
          </cell>
          <cell r="W436">
            <v>8086.0843695127678</v>
          </cell>
          <cell r="X436">
            <v>6064.5632771345754</v>
          </cell>
          <cell r="Y436">
            <v>14150.647646647343</v>
          </cell>
          <cell r="Z436">
            <v>6064.5632771345754</v>
          </cell>
          <cell r="AA436">
            <v>673.84036412606395</v>
          </cell>
          <cell r="AB436">
            <v>20.776439546856693</v>
          </cell>
          <cell r="AC436">
            <v>15</v>
          </cell>
          <cell r="AD436">
            <v>106.16225192229068</v>
          </cell>
          <cell r="AE436">
            <v>170.80083702550883</v>
          </cell>
          <cell r="AF436">
            <v>35.316580929038992</v>
          </cell>
          <cell r="AG436">
            <v>49.914101046375109</v>
          </cell>
          <cell r="AH436" t="str">
            <v>Mecánica</v>
          </cell>
          <cell r="AI436">
            <v>673.84036412606395</v>
          </cell>
          <cell r="AJ436">
            <v>15</v>
          </cell>
          <cell r="AK436">
            <v>44.922690941737599</v>
          </cell>
        </row>
        <row r="437">
          <cell r="A437" t="str">
            <v>P082</v>
          </cell>
          <cell r="B437" t="str">
            <v>PREV</v>
          </cell>
          <cell r="C437" t="str">
            <v>WWOMMIM01060400100</v>
          </cell>
          <cell r="D437" t="str">
            <v>VENTANILLA, SANTA ROSA Y MALACAS</v>
          </cell>
          <cell r="E437" t="str">
            <v>MONT/DESMON VÁLVULA BRIDADAS D=&lt;2 IN</v>
          </cell>
          <cell r="F437" t="str">
            <v xml:space="preserve">DESM/MONTAJE DE VÁLVULA BRIDADA/ROSCADA. DESMON ACCIÓNAMIENTO (MANUAL, ELÉCTRICO O NEUMÁTICO). TRASLADO A TALLER. LIMPIEZA DE SUPERFICIES Y SELLADO PROVISIÓNAL TUBERÍA. SOPORTE PROVISIÓNAL DE TUBERÍAS. SUMINISTRO/CONSTRUCCIÓN JUNTAS ESTÁNDAR PARA ACOPLAMIENTOS CON BRIDAS Y SUMINISTRO/SUSTITUCIÓN DE TORNILLERÍA DAÑADA. NO INCLUYE REVISIÓN VÁLVULA NI DESCONEX/CONEX ELÉCTRICA-INSTRUMENTACIÓN. </v>
          </cell>
          <cell r="G437" t="str">
            <v>MMIM0106</v>
          </cell>
          <cell r="H437" t="str">
            <v>NUM</v>
          </cell>
          <cell r="I437">
            <v>1</v>
          </cell>
          <cell r="J437">
            <v>2</v>
          </cell>
          <cell r="K437">
            <v>2</v>
          </cell>
          <cell r="L437">
            <v>4</v>
          </cell>
          <cell r="M437" t="str">
            <v>NO</v>
          </cell>
          <cell r="N437">
            <v>20</v>
          </cell>
          <cell r="O437">
            <v>19</v>
          </cell>
          <cell r="P437">
            <v>10</v>
          </cell>
          <cell r="Q437">
            <v>60</v>
          </cell>
          <cell r="R437">
            <v>57</v>
          </cell>
          <cell r="S437">
            <v>30</v>
          </cell>
          <cell r="T437">
            <v>173.30385941358963</v>
          </cell>
          <cell r="U437">
            <v>173.30385941358963</v>
          </cell>
          <cell r="V437">
            <v>173.30385941358963</v>
          </cell>
          <cell r="W437">
            <v>10398.231564815378</v>
          </cell>
          <cell r="X437">
            <v>9878.3199865746101</v>
          </cell>
          <cell r="Y437">
            <v>20276.551551389988</v>
          </cell>
          <cell r="Z437">
            <v>5199.115782407689</v>
          </cell>
          <cell r="AA437">
            <v>173.30385941358963</v>
          </cell>
          <cell r="AB437">
            <v>19.171538486527368</v>
          </cell>
          <cell r="AC437">
            <v>4</v>
          </cell>
          <cell r="AD437">
            <v>25.63657020429827</v>
          </cell>
          <cell r="AE437">
            <v>49.06080084399273</v>
          </cell>
          <cell r="AF437">
            <v>9.0830114996640265</v>
          </cell>
          <cell r="AG437">
            <v>12.837322919525159</v>
          </cell>
          <cell r="AH437" t="str">
            <v>Mecánica</v>
          </cell>
          <cell r="AI437">
            <v>173.30385941358963</v>
          </cell>
          <cell r="AJ437">
            <v>4</v>
          </cell>
          <cell r="AK437">
            <v>43.325964853397409</v>
          </cell>
        </row>
        <row r="438">
          <cell r="A438" t="str">
            <v>C220</v>
          </cell>
          <cell r="B438" t="str">
            <v>COND</v>
          </cell>
          <cell r="C438" t="str">
            <v>WWOMMIM01060400400</v>
          </cell>
          <cell r="D438" t="str">
            <v>VENTANILLA, SANTA ROSA Y MALACAS</v>
          </cell>
          <cell r="E438" t="str">
            <v>MON/DESMON VÁLVULA BRIDADAS D&gt;10 IN</v>
          </cell>
          <cell r="F438" t="str">
            <v xml:space="preserve">DESM/MONTAJE DE VÁLVULA BRIDADA/ROSCADA. DESMON ACCIÓNAMIENTO (MANUAL, ELÉCTRICO O NEUMÁTICO). TRASLADO A TALLER. LIMPIEZA DE SUPERFICIES Y SELLADO PROVISIÓNAL TUBERÍA. SOPORTE PROVISIÓNAL DE TUBERÍAS. SUMINISTRO/CONSTRUCCIÓN JUNTAS ESTÁNDAR PARA ACOPLAMIENTOS CON BRIDAS Y SUMINISTRO/SUSTITUCIÓN DE TORNILLERÍA DAÑADA. NO INCLUYE REVISIÓN VÁLVULA NI DESCONEX/CONEX ELÉCTRICA-INSTRUMENTACIÓN. </v>
          </cell>
          <cell r="G438" t="str">
            <v>MMIM0100</v>
          </cell>
          <cell r="H438" t="str">
            <v>NUM</v>
          </cell>
          <cell r="I438">
            <v>1</v>
          </cell>
          <cell r="J438">
            <v>12.5</v>
          </cell>
          <cell r="K438">
            <v>3</v>
          </cell>
          <cell r="L438">
            <v>37.5</v>
          </cell>
          <cell r="M438" t="str">
            <v>SI</v>
          </cell>
          <cell r="N438">
            <v>4</v>
          </cell>
          <cell r="O438">
            <v>3</v>
          </cell>
          <cell r="P438">
            <v>3</v>
          </cell>
          <cell r="Q438">
            <v>12</v>
          </cell>
          <cell r="R438">
            <v>9</v>
          </cell>
          <cell r="S438">
            <v>9</v>
          </cell>
          <cell r="T438">
            <v>1715.8028670519141</v>
          </cell>
          <cell r="U438">
            <v>1715.8028670519141</v>
          </cell>
          <cell r="V438">
            <v>1715.8028670519141</v>
          </cell>
          <cell r="W438">
            <v>20589.634404622968</v>
          </cell>
          <cell r="X438">
            <v>15442.225803467227</v>
          </cell>
          <cell r="Y438">
            <v>36031.860208090191</v>
          </cell>
          <cell r="Z438">
            <v>15442.225803467227</v>
          </cell>
          <cell r="AA438">
            <v>1715.8028670519141</v>
          </cell>
          <cell r="AB438">
            <v>21.533127692412709</v>
          </cell>
          <cell r="AC438">
            <v>37.5</v>
          </cell>
          <cell r="AD438">
            <v>264.97616065758984</v>
          </cell>
          <cell r="AE438">
            <v>426.31113425561472</v>
          </cell>
          <cell r="AF438">
            <v>89.926775002720859</v>
          </cell>
          <cell r="AG438">
            <v>127.09650867051216</v>
          </cell>
          <cell r="AH438" t="str">
            <v>Mecánica</v>
          </cell>
          <cell r="AI438">
            <v>1715.8028670519141</v>
          </cell>
          <cell r="AJ438">
            <v>37.5</v>
          </cell>
          <cell r="AK438">
            <v>45.754743121384372</v>
          </cell>
        </row>
        <row r="439">
          <cell r="A439" t="str">
            <v>C221</v>
          </cell>
          <cell r="B439" t="str">
            <v>COND</v>
          </cell>
          <cell r="C439" t="str">
            <v>WWOMMIM01060400200</v>
          </cell>
          <cell r="D439" t="str">
            <v>VENTANILLA, SANTA ROSA Y MALACAS</v>
          </cell>
          <cell r="E439" t="str">
            <v>MON/DESMON VÁLVULA BRIDADAS D&gt;2&lt;=4 IN</v>
          </cell>
          <cell r="F439" t="str">
            <v xml:space="preserve">DESM/MONTAJE DE VÁLVULA BRIDADA/ROSCADA. DESMON ACCIÓNAMIENTO (MANUAL, ELÉCTRICO O NEUMÁTICO). TRASLADO A TALLER. LIMPIEZA DE SUPERFICIES Y SELLADO PROVISIÓNAL TUBERÍA. SOPORTE PROVISIÓNAL DE TUBERÍAS. SUMINISTRO/CONSTRUCCIÓN JUNTAS ESTÁNDAR PARA ACOPLAMIENTOS CON BRIDAS Y SUMINISTRO/SUSTITUCIÓN DE TORNILLERÍA DAÑADA. NO INCLUYE REVISIÓN VÁLVULA NI DESCONEX/CONEX ELÉCTRICA-INSTRUMENTACIÓN. </v>
          </cell>
          <cell r="G439" t="str">
            <v>MMIM0100</v>
          </cell>
          <cell r="H439" t="str">
            <v>NUM</v>
          </cell>
          <cell r="I439">
            <v>1</v>
          </cell>
          <cell r="J439">
            <v>6</v>
          </cell>
          <cell r="K439">
            <v>2</v>
          </cell>
          <cell r="L439">
            <v>12</v>
          </cell>
          <cell r="M439" t="str">
            <v>NO</v>
          </cell>
          <cell r="N439">
            <v>4</v>
          </cell>
          <cell r="O439">
            <v>3</v>
          </cell>
          <cell r="P439">
            <v>3</v>
          </cell>
          <cell r="Q439">
            <v>12</v>
          </cell>
          <cell r="R439">
            <v>9</v>
          </cell>
          <cell r="S439">
            <v>9</v>
          </cell>
          <cell r="T439">
            <v>486.73083362188521</v>
          </cell>
          <cell r="U439">
            <v>486.73083362188521</v>
          </cell>
          <cell r="V439">
            <v>486.73083362188521</v>
          </cell>
          <cell r="W439">
            <v>5840.7700034626223</v>
          </cell>
          <cell r="X439">
            <v>4380.577502596967</v>
          </cell>
          <cell r="Y439">
            <v>10221.347506059588</v>
          </cell>
          <cell r="Z439">
            <v>4380.577502596967</v>
          </cell>
          <cell r="AA439">
            <v>486.73083362188521</v>
          </cell>
          <cell r="AB439">
            <v>19.171538486527368</v>
          </cell>
          <cell r="AC439">
            <v>12</v>
          </cell>
          <cell r="AD439">
            <v>66.962275555972965</v>
          </cell>
          <cell r="AE439">
            <v>128.14595864158719</v>
          </cell>
          <cell r="AF439">
            <v>25.510001762153312</v>
          </cell>
          <cell r="AG439">
            <v>36.054135823843346</v>
          </cell>
          <cell r="AH439" t="str">
            <v>Mecánica</v>
          </cell>
          <cell r="AI439">
            <v>486.73083362188521</v>
          </cell>
          <cell r="AJ439">
            <v>12</v>
          </cell>
          <cell r="AK439">
            <v>40.560902801823765</v>
          </cell>
        </row>
        <row r="440">
          <cell r="A440" t="str">
            <v>C222</v>
          </cell>
          <cell r="B440" t="str">
            <v>COND</v>
          </cell>
          <cell r="C440" t="str">
            <v>WWOMMIM01060400300</v>
          </cell>
          <cell r="D440" t="str">
            <v>VENTANILLA, SANTA ROSA Y MALACAS</v>
          </cell>
          <cell r="E440" t="str">
            <v>MON/DESMON VÁLVULA BRIDADAS D&gt;4&lt;=10 IN</v>
          </cell>
          <cell r="F440" t="str">
            <v xml:space="preserve">DESM/MONTAJE DE VÁLVULA BRIDADA/ROSCADA. DESMON ACCIÓNAMIENTO (MANUAL, ELÉCTRICO O NEUMÁTICO). TRASLADO A TALLER. LIMPIEZA DE SUPERFICIES Y SELLADO PROVISIÓNAL TUBERÍA. SOPORTE PROVISIÓNAL DE TUBERÍAS. SUMINISTRO/CONSTRUCCIÓN JUNTAS ESTÁNDAR PARA ACOPLAMIENTOS CON BRIDAS Y SUMINISTRO/SUSTITUCIÓN DE TORNILLERÍA DAÑADA. NO INCLUYE REVISIÓN VÁLVULA NI DESCONEX/CONEX ELÉCTRICA-INSTRUMENTACIÓN. </v>
          </cell>
          <cell r="G440" t="str">
            <v>MMIM0100</v>
          </cell>
          <cell r="H440" t="str">
            <v>NUM</v>
          </cell>
          <cell r="I440">
            <v>1</v>
          </cell>
          <cell r="J440">
            <v>8</v>
          </cell>
          <cell r="K440">
            <v>2</v>
          </cell>
          <cell r="L440">
            <v>16</v>
          </cell>
          <cell r="M440" t="str">
            <v>NO</v>
          </cell>
          <cell r="N440">
            <v>4</v>
          </cell>
          <cell r="O440">
            <v>3</v>
          </cell>
          <cell r="P440">
            <v>3</v>
          </cell>
          <cell r="Q440">
            <v>12</v>
          </cell>
          <cell r="R440">
            <v>9</v>
          </cell>
          <cell r="S440">
            <v>9</v>
          </cell>
          <cell r="T440">
            <v>685.08127064531993</v>
          </cell>
          <cell r="U440">
            <v>685.08127064531993</v>
          </cell>
          <cell r="V440">
            <v>685.08127064531993</v>
          </cell>
          <cell r="W440">
            <v>8220.9752477438396</v>
          </cell>
          <cell r="X440">
            <v>6165.7314358078793</v>
          </cell>
          <cell r="Y440">
            <v>14386.706683551718</v>
          </cell>
          <cell r="Z440">
            <v>6165.7314358078793</v>
          </cell>
          <cell r="AA440">
            <v>685.08127064531993</v>
          </cell>
          <cell r="AB440">
            <v>19.171538486527368</v>
          </cell>
          <cell r="AC440">
            <v>16</v>
          </cell>
          <cell r="AD440">
            <v>111.80496342304025</v>
          </cell>
          <cell r="AE440">
            <v>179.87920367627439</v>
          </cell>
          <cell r="AF440">
            <v>35.905726973025153</v>
          </cell>
          <cell r="AG440">
            <v>50.746760788542218</v>
          </cell>
          <cell r="AH440" t="str">
            <v>Mecánica</v>
          </cell>
          <cell r="AI440">
            <v>685.08127064531993</v>
          </cell>
          <cell r="AJ440">
            <v>16</v>
          </cell>
          <cell r="AK440">
            <v>42.817579415332496</v>
          </cell>
        </row>
        <row r="441">
          <cell r="A441" t="str">
            <v>C223</v>
          </cell>
          <cell r="B441" t="str">
            <v>COND</v>
          </cell>
          <cell r="C441" t="str">
            <v>WWOMMIM01060400100</v>
          </cell>
          <cell r="D441" t="str">
            <v>VENTANILLA, SANTA ROSA Y MALACAS</v>
          </cell>
          <cell r="E441" t="str">
            <v>MONT/DESMON VÁLVULA BRIDADAS D=&lt;2 IN</v>
          </cell>
          <cell r="F441" t="str">
            <v xml:space="preserve">DESM/MONTAJE DE VÁLVULA BRIDADA/ROSCADA. DESMON ACCIÓNAMIENTO (MANUAL, ELÉCTRICO O NEUMÁTICO). TRASLADO A TALLER. LIMPIEZA DE SUPERFICIES Y SELLADO PROVISIÓNAL TUBERÍA. SOPORTE PROVISIÓNAL DE TUBERÍAS. SUMINISTRO/CONSTRUCCIÓN JUNTAS ESTÁNDAR PARA ACOPLAMIENTOS CON BRIDAS Y SUMINISTRO/SUSTITUCIÓN DE TORNILLERÍA DAÑADA. NO INCLUYE REVISIÓN VÁLVULA NI DESCONEX/CONEX ELÉCTRICA-INSTRUMENTACIÓN. </v>
          </cell>
          <cell r="G441" t="str">
            <v>MMIM0100</v>
          </cell>
          <cell r="H441" t="str">
            <v>NUM</v>
          </cell>
          <cell r="I441">
            <v>1</v>
          </cell>
          <cell r="J441">
            <v>2</v>
          </cell>
          <cell r="K441">
            <v>2</v>
          </cell>
          <cell r="L441">
            <v>4</v>
          </cell>
          <cell r="M441" t="str">
            <v>NO</v>
          </cell>
          <cell r="N441">
            <v>1</v>
          </cell>
          <cell r="O441">
            <v>1</v>
          </cell>
          <cell r="P441">
            <v>1</v>
          </cell>
          <cell r="Q441">
            <v>3</v>
          </cell>
          <cell r="R441">
            <v>3</v>
          </cell>
          <cell r="S441">
            <v>3</v>
          </cell>
          <cell r="T441">
            <v>171.34116888132945</v>
          </cell>
          <cell r="U441">
            <v>171.34116888132945</v>
          </cell>
          <cell r="V441">
            <v>171.34116888132945</v>
          </cell>
          <cell r="W441">
            <v>514.02350664398841</v>
          </cell>
          <cell r="X441">
            <v>514.02350664398841</v>
          </cell>
          <cell r="Y441">
            <v>1028.0470132879768</v>
          </cell>
          <cell r="Z441">
            <v>514.02350664398841</v>
          </cell>
          <cell r="AA441">
            <v>171.34116888132945</v>
          </cell>
          <cell r="AB441">
            <v>19.171538486527368</v>
          </cell>
          <cell r="AC441">
            <v>4</v>
          </cell>
          <cell r="AD441">
            <v>25.048164584389959</v>
          </cell>
          <cell r="AE441">
            <v>47.934766795609463</v>
          </cell>
          <cell r="AF441">
            <v>8.9801451195665312</v>
          </cell>
          <cell r="AG441">
            <v>12.691938435654034</v>
          </cell>
          <cell r="AH441" t="str">
            <v>Mecánica</v>
          </cell>
          <cell r="AI441">
            <v>171.34116888132945</v>
          </cell>
          <cell r="AJ441">
            <v>4</v>
          </cell>
          <cell r="AK441">
            <v>42.835292220332363</v>
          </cell>
        </row>
        <row r="442">
          <cell r="A442" t="str">
            <v>C226</v>
          </cell>
          <cell r="B442" t="str">
            <v>COND</v>
          </cell>
          <cell r="C442" t="str">
            <v>WWOMMIM01060403500</v>
          </cell>
          <cell r="D442" t="str">
            <v>VENTANILLA, SANTA ROSA Y MALACAS</v>
          </cell>
          <cell r="E442" t="str">
            <v>REVISIÓN GUILLOTINS/COMPUERTA D&lt;=10 IN</v>
          </cell>
          <cell r="F442" t="str">
            <v>DESM/MONT COMPUERTA GUILLOTINA DE LA INSTALACIÓN. LIMPIEZA Y DESMONTAJE DE LA VÁLVULA EN SUS COMPONENTES ELEMENTALES, COMPROBACIÓN DEL ESTADO DE DESGASTE, SUSTITUCIÓN DE PIEZAS DESGASTADAS</v>
          </cell>
          <cell r="G442" t="str">
            <v>MMIM0100</v>
          </cell>
          <cell r="H442" t="str">
            <v>NUM</v>
          </cell>
          <cell r="I442">
            <v>1</v>
          </cell>
          <cell r="J442">
            <v>8</v>
          </cell>
          <cell r="K442">
            <v>2</v>
          </cell>
          <cell r="L442">
            <v>16</v>
          </cell>
          <cell r="M442" t="str">
            <v>NO</v>
          </cell>
          <cell r="N442">
            <v>4</v>
          </cell>
          <cell r="O442">
            <v>3</v>
          </cell>
          <cell r="P442">
            <v>3</v>
          </cell>
          <cell r="Q442">
            <v>12</v>
          </cell>
          <cell r="R442">
            <v>9</v>
          </cell>
          <cell r="S442">
            <v>9</v>
          </cell>
          <cell r="T442">
            <v>718.76305506780102</v>
          </cell>
          <cell r="U442">
            <v>718.76305506780102</v>
          </cell>
          <cell r="V442">
            <v>718.76305506780102</v>
          </cell>
          <cell r="W442">
            <v>8625.1566608136127</v>
          </cell>
          <cell r="X442">
            <v>6468.8674956102095</v>
          </cell>
          <cell r="Y442">
            <v>15094.024156423822</v>
          </cell>
          <cell r="Z442">
            <v>6468.8674956102095</v>
          </cell>
          <cell r="AA442">
            <v>718.76305506780102</v>
          </cell>
          <cell r="AB442">
            <v>20.776439546856693</v>
          </cell>
          <cell r="AC442">
            <v>16</v>
          </cell>
          <cell r="AD442">
            <v>113.23973538377652</v>
          </cell>
          <cell r="AE442">
            <v>182.1875594938758</v>
          </cell>
          <cell r="AF442">
            <v>37.671019657641565</v>
          </cell>
          <cell r="AG442">
            <v>53.241707782800077</v>
          </cell>
          <cell r="AH442" t="str">
            <v>Mecánica</v>
          </cell>
          <cell r="AI442">
            <v>718.76305506780102</v>
          </cell>
          <cell r="AJ442">
            <v>16</v>
          </cell>
          <cell r="AK442">
            <v>44.922690941737564</v>
          </cell>
        </row>
        <row r="443">
          <cell r="A443" t="str">
            <v>C227</v>
          </cell>
          <cell r="B443" t="str">
            <v>COND</v>
          </cell>
          <cell r="C443" t="str">
            <v>WWOMMIM01060403600</v>
          </cell>
          <cell r="D443" t="str">
            <v>VENTANILLA, SANTA ROSA Y MALACAS</v>
          </cell>
          <cell r="E443" t="str">
            <v>REVISIÓN GUILLOTINS/COMPUERTA D&gt;10 IN</v>
          </cell>
          <cell r="F443" t="str">
            <v>DESM/MONT COMPUERTA GUILLOTINA DE LA INSTALACIÓN. LIMPIEZA Y DESMONTAJE DE LA VÁLVULA EN SUS COMPONENTES ELEMENTALES, COMPROBACIÓN DEL ESTADO DE DESGASTE, SUSTITUCIÓN DE PIEZAS DESGASTADAS</v>
          </cell>
          <cell r="G443" t="str">
            <v>MMIM0100</v>
          </cell>
          <cell r="H443" t="str">
            <v>NUM</v>
          </cell>
          <cell r="I443">
            <v>1</v>
          </cell>
          <cell r="J443">
            <v>10</v>
          </cell>
          <cell r="K443">
            <v>2</v>
          </cell>
          <cell r="L443">
            <v>20</v>
          </cell>
          <cell r="M443" t="str">
            <v>NO</v>
          </cell>
          <cell r="N443">
            <v>4</v>
          </cell>
          <cell r="O443">
            <v>3</v>
          </cell>
          <cell r="P443">
            <v>3</v>
          </cell>
          <cell r="Q443">
            <v>12</v>
          </cell>
          <cell r="R443">
            <v>9</v>
          </cell>
          <cell r="S443">
            <v>9</v>
          </cell>
          <cell r="T443">
            <v>898.45381883475113</v>
          </cell>
          <cell r="U443">
            <v>898.45381883475113</v>
          </cell>
          <cell r="V443">
            <v>898.45381883475113</v>
          </cell>
          <cell r="W443">
            <v>10781.445826017014</v>
          </cell>
          <cell r="X443">
            <v>8086.0843695127605</v>
          </cell>
          <cell r="Y443">
            <v>18867.530195529776</v>
          </cell>
          <cell r="Z443">
            <v>8086.0843695127605</v>
          </cell>
          <cell r="AA443">
            <v>898.45381883475113</v>
          </cell>
          <cell r="AB443">
            <v>20.776439546856693</v>
          </cell>
          <cell r="AC443">
            <v>20</v>
          </cell>
          <cell r="AD443">
            <v>141.54966922972056</v>
          </cell>
          <cell r="AE443">
            <v>227.73444936734458</v>
          </cell>
          <cell r="AF443">
            <v>47.088774572051946</v>
          </cell>
          <cell r="AG443">
            <v>66.552134728500093</v>
          </cell>
          <cell r="AH443" t="str">
            <v>Mecánica</v>
          </cell>
          <cell r="AI443">
            <v>898.45381883475113</v>
          </cell>
          <cell r="AJ443">
            <v>20</v>
          </cell>
          <cell r="AK443">
            <v>44.922690941737557</v>
          </cell>
        </row>
        <row r="444">
          <cell r="A444" t="str">
            <v>C358</v>
          </cell>
          <cell r="B444" t="str">
            <v>COND</v>
          </cell>
          <cell r="C444" t="str">
            <v>PEOLEII09MEREEMP09</v>
          </cell>
          <cell r="D444" t="str">
            <v>VENTANILLA, SANTA ROSA Y MALACAS</v>
          </cell>
          <cell r="E444" t="str">
            <v>RETIRO DE PORTA ESCOBILLAS DE EXCITACION DE ALTERNADOR</v>
          </cell>
          <cell r="F444" t="str">
            <v>DESCONEXION, RETIRO, INSTALACION Y CONEXIÓN DE PORTAESCOBILLAS  DE EXCITACION DE ALTERNADOR</v>
          </cell>
          <cell r="G444" t="str">
            <v>LEII0900</v>
          </cell>
          <cell r="H444" t="str">
            <v>NUM</v>
          </cell>
          <cell r="I444">
            <v>1</v>
          </cell>
          <cell r="J444">
            <v>2</v>
          </cell>
          <cell r="K444">
            <v>3</v>
          </cell>
          <cell r="L444">
            <v>6</v>
          </cell>
          <cell r="M444" t="str">
            <v>SI</v>
          </cell>
          <cell r="N444">
            <v>3</v>
          </cell>
          <cell r="O444">
            <v>1</v>
          </cell>
          <cell r="P444">
            <v>1</v>
          </cell>
          <cell r="Q444">
            <v>9</v>
          </cell>
          <cell r="R444">
            <v>3</v>
          </cell>
          <cell r="S444">
            <v>3</v>
          </cell>
          <cell r="T444">
            <v>252.45923709207403</v>
          </cell>
          <cell r="U444">
            <v>252.45923709207403</v>
          </cell>
          <cell r="V444">
            <v>252.45923709207403</v>
          </cell>
          <cell r="W444">
            <v>2272.1331338286664</v>
          </cell>
          <cell r="X444">
            <v>757.37771127622204</v>
          </cell>
          <cell r="Y444">
            <v>3029.5108451048882</v>
          </cell>
          <cell r="Z444">
            <v>757.37771127622204</v>
          </cell>
          <cell r="AA444">
            <v>252.45923709207403</v>
          </cell>
          <cell r="AB444">
            <v>17.555395653041831</v>
          </cell>
          <cell r="AC444">
            <v>6</v>
          </cell>
          <cell r="AD444">
            <v>40.964021315378154</v>
          </cell>
          <cell r="AE444">
            <v>74.230541429608152</v>
          </cell>
          <cell r="AF444">
            <v>13.231616199794237</v>
          </cell>
          <cell r="AG444">
            <v>18.700684229042523</v>
          </cell>
          <cell r="AH444" t="e">
            <v>#N/A</v>
          </cell>
          <cell r="AI444">
            <v>252.45923709207403</v>
          </cell>
          <cell r="AJ444">
            <v>6</v>
          </cell>
          <cell r="AK444">
            <v>42.076539515345672</v>
          </cell>
        </row>
        <row r="445">
          <cell r="A445" t="str">
            <v>C350</v>
          </cell>
          <cell r="B445" t="str">
            <v>COND</v>
          </cell>
          <cell r="C445" t="str">
            <v>PEOLEII09MEREEMP07</v>
          </cell>
          <cell r="D445" t="str">
            <v>VENTANILLA, SANTA ROSA Y MALACAS</v>
          </cell>
          <cell r="E445" t="str">
            <v>CAMBIO DE BATERIAS DE 24 VCC</v>
          </cell>
          <cell r="F445" t="str">
            <v>DESCONEXION, RETIRO, INSTALACION Y CONEXIÓN DE BATERIA</v>
          </cell>
          <cell r="G445" t="str">
            <v>LEII0900</v>
          </cell>
          <cell r="H445" t="str">
            <v>NUM</v>
          </cell>
          <cell r="I445">
            <v>1</v>
          </cell>
          <cell r="J445">
            <v>0.5</v>
          </cell>
          <cell r="K445">
            <v>2</v>
          </cell>
          <cell r="L445">
            <v>1</v>
          </cell>
          <cell r="M445" t="str">
            <v>NO</v>
          </cell>
          <cell r="N445">
            <v>4</v>
          </cell>
          <cell r="O445">
            <v>1</v>
          </cell>
          <cell r="P445">
            <v>1</v>
          </cell>
          <cell r="Q445">
            <v>12</v>
          </cell>
          <cell r="R445">
            <v>3</v>
          </cell>
          <cell r="S445">
            <v>3</v>
          </cell>
          <cell r="T445">
            <v>48.112168579652383</v>
          </cell>
          <cell r="U445">
            <v>48.112168579652383</v>
          </cell>
          <cell r="V445">
            <v>48.112168579652383</v>
          </cell>
          <cell r="W445">
            <v>577.34602295582863</v>
          </cell>
          <cell r="X445">
            <v>144.33650573895716</v>
          </cell>
          <cell r="Y445">
            <v>721.68252869478579</v>
          </cell>
          <cell r="Z445">
            <v>144.33650573895716</v>
          </cell>
          <cell r="AA445">
            <v>48.112168579652383</v>
          </cell>
          <cell r="AB445">
            <v>23.057832511738386</v>
          </cell>
          <cell r="AC445">
            <v>1</v>
          </cell>
          <cell r="AD445">
            <v>7.2709252377443985</v>
          </cell>
          <cell r="AE445">
            <v>11.697944364119929</v>
          </cell>
          <cell r="AF445">
            <v>2.5216021268161626</v>
          </cell>
          <cell r="AG445">
            <v>3.5638643392335099</v>
          </cell>
          <cell r="AH445" t="e">
            <v>#N/A</v>
          </cell>
          <cell r="AI445">
            <v>48.112168579652383</v>
          </cell>
          <cell r="AJ445">
            <v>1</v>
          </cell>
          <cell r="AK445">
            <v>48.112168579652383</v>
          </cell>
        </row>
        <row r="446">
          <cell r="A446" t="str">
            <v>C351</v>
          </cell>
          <cell r="B446" t="str">
            <v>COND</v>
          </cell>
          <cell r="C446" t="str">
            <v>PEOLEII09MEREEMP08</v>
          </cell>
          <cell r="D446" t="str">
            <v>VENTANILLA Y MALACAS</v>
          </cell>
          <cell r="E446" t="str">
            <v xml:space="preserve">CAMBIO DE BATERIAS DE 2  VCC </v>
          </cell>
          <cell r="F446" t="str">
            <v>DESCONEXION, RETIRO, INSTALACION Y CONEXIÓN DE BATERIA</v>
          </cell>
          <cell r="G446" t="str">
            <v>LEII0900</v>
          </cell>
          <cell r="H446" t="str">
            <v>NUM</v>
          </cell>
          <cell r="I446">
            <v>1</v>
          </cell>
          <cell r="J446">
            <v>1</v>
          </cell>
          <cell r="K446">
            <v>2</v>
          </cell>
          <cell r="L446">
            <v>2</v>
          </cell>
          <cell r="M446" t="str">
            <v>NO</v>
          </cell>
          <cell r="N446">
            <v>8</v>
          </cell>
          <cell r="O446">
            <v>0</v>
          </cell>
          <cell r="P446">
            <v>1</v>
          </cell>
          <cell r="Q446">
            <v>24</v>
          </cell>
          <cell r="R446">
            <v>0</v>
          </cell>
          <cell r="S446">
            <v>3</v>
          </cell>
          <cell r="T446">
            <v>192.44867431860953</v>
          </cell>
          <cell r="U446"/>
          <cell r="V446">
            <v>192.44867431860953</v>
          </cell>
          <cell r="W446">
            <v>4618.768183646629</v>
          </cell>
          <cell r="X446">
            <v>0</v>
          </cell>
          <cell r="Y446">
            <v>4618.768183646629</v>
          </cell>
          <cell r="Z446">
            <v>577.34602295582863</v>
          </cell>
          <cell r="AA446">
            <v>192.44867431860953</v>
          </cell>
          <cell r="AB446">
            <v>23.057832511738386</v>
          </cell>
          <cell r="AC446">
            <v>4</v>
          </cell>
          <cell r="AD446">
            <v>29.083700950977594</v>
          </cell>
          <cell r="AE446">
            <v>46.791777456479714</v>
          </cell>
          <cell r="AF446">
            <v>10.08640850726465</v>
          </cell>
          <cell r="AG446">
            <v>14.255457356934039</v>
          </cell>
          <cell r="AH446" t="e">
            <v>#N/A</v>
          </cell>
          <cell r="AI446">
            <v>192.44867431860953</v>
          </cell>
          <cell r="AJ446">
            <v>2</v>
          </cell>
          <cell r="AK446">
            <v>96.224337159304767</v>
          </cell>
        </row>
        <row r="447">
          <cell r="A447" t="str">
            <v>C362</v>
          </cell>
          <cell r="B447" t="str">
            <v>COND</v>
          </cell>
          <cell r="C447" t="str">
            <v>PEOLEII09MEPRUEB04</v>
          </cell>
          <cell r="D447" t="str">
            <v>VENTANILLA</v>
          </cell>
          <cell r="E447" t="str">
            <v>PRUEBAS ELECTRICAS DE CABLES DE MT, BT</v>
          </cell>
          <cell r="F447" t="str">
            <v xml:space="preserve">DESCONEXION, MEDIDA DE AISLAMIENTO, RESIST., RECONEXION CABLES </v>
          </cell>
          <cell r="G447" t="str">
            <v>LEII0900</v>
          </cell>
          <cell r="H447" t="str">
            <v>NUM</v>
          </cell>
          <cell r="I447">
            <v>1</v>
          </cell>
          <cell r="J447">
            <v>1</v>
          </cell>
          <cell r="K447">
            <v>2</v>
          </cell>
          <cell r="L447">
            <v>2</v>
          </cell>
          <cell r="M447" t="str">
            <v>NO</v>
          </cell>
          <cell r="N447">
            <v>12</v>
          </cell>
          <cell r="O447">
            <v>0</v>
          </cell>
          <cell r="P447">
            <v>0</v>
          </cell>
          <cell r="Q447">
            <v>36</v>
          </cell>
          <cell r="R447">
            <v>0</v>
          </cell>
          <cell r="S447">
            <v>0</v>
          </cell>
          <cell r="T447">
            <v>190.30606894255416</v>
          </cell>
          <cell r="U447"/>
          <cell r="V447">
            <v>0</v>
          </cell>
          <cell r="W447">
            <v>6851.0184819319502</v>
          </cell>
          <cell r="X447">
            <v>0</v>
          </cell>
          <cell r="Y447">
            <v>6851.0184819319502</v>
          </cell>
          <cell r="Z447">
            <v>0</v>
          </cell>
          <cell r="AA447">
            <v>190.30606894255416</v>
          </cell>
          <cell r="AB447">
            <v>23.057832511738386</v>
          </cell>
          <cell r="AC447">
            <v>4</v>
          </cell>
          <cell r="AD447">
            <v>28.366301900447571</v>
          </cell>
          <cell r="AE447">
            <v>45.637578519540007</v>
          </cell>
          <cell r="AF447">
            <v>9.9741126280164671</v>
          </cell>
          <cell r="AG447">
            <v>14.096745847596607</v>
          </cell>
          <cell r="AH447" t="e">
            <v>#N/A</v>
          </cell>
          <cell r="AI447">
            <v>190.30606894255416</v>
          </cell>
          <cell r="AJ447">
            <v>2</v>
          </cell>
          <cell r="AK447">
            <v>95.153034471277081</v>
          </cell>
        </row>
        <row r="448">
          <cell r="A448" t="str">
            <v>C345</v>
          </cell>
          <cell r="B448" t="str">
            <v>COND</v>
          </cell>
          <cell r="C448" t="str">
            <v>PEOLEII09MEAPOY001</v>
          </cell>
          <cell r="D448" t="str">
            <v>VENTANILLA</v>
          </cell>
          <cell r="E448" t="str">
            <v>APOYO CAMBIO MOTOR SUMERGIBLE</v>
          </cell>
          <cell r="F448" t="str">
            <v>DESCONEXION Y RETIRO DE EMPALME DE CABLES SUMERGIBLE, ACOMODO DE CABLES EN PISO, AMARRE DE CABLES A TUBOS, MEDIDA DE AISLAMIENTO POR TUB. ,CONEXIÓN  E INSTALACION DE AISLAMIENTOS TERMOCONTRAIBLES. MEDIDA DE AISLAMIENTO DESDE TABLERO Y PRUEBAS DE OPERACIÓN</v>
          </cell>
          <cell r="G448" t="str">
            <v>LEII0900</v>
          </cell>
          <cell r="H448" t="str">
            <v>NUM</v>
          </cell>
          <cell r="I448">
            <v>5</v>
          </cell>
          <cell r="J448">
            <v>10</v>
          </cell>
          <cell r="K448">
            <v>4</v>
          </cell>
          <cell r="L448">
            <v>200</v>
          </cell>
          <cell r="M448" t="str">
            <v>SI</v>
          </cell>
          <cell r="N448">
            <v>3</v>
          </cell>
          <cell r="O448">
            <v>0</v>
          </cell>
          <cell r="P448">
            <v>0</v>
          </cell>
          <cell r="Q448">
            <v>9</v>
          </cell>
          <cell r="R448">
            <v>0</v>
          </cell>
          <cell r="S448">
            <v>0</v>
          </cell>
          <cell r="T448">
            <v>8790.1152235576556</v>
          </cell>
          <cell r="U448"/>
          <cell r="V448">
            <v>0</v>
          </cell>
          <cell r="W448">
            <v>79111.037012018904</v>
          </cell>
          <cell r="X448">
            <v>0</v>
          </cell>
          <cell r="Y448">
            <v>79111.037012018904</v>
          </cell>
          <cell r="Z448">
            <v>0</v>
          </cell>
          <cell r="AA448">
            <v>8790.1152235576556</v>
          </cell>
          <cell r="AB448">
            <v>19.97398901669203</v>
          </cell>
          <cell r="AC448">
            <v>200</v>
          </cell>
          <cell r="AD448">
            <v>1411.9161040913821</v>
          </cell>
          <cell r="AE448">
            <v>2271.5838070685127</v>
          </cell>
          <cell r="AF448">
            <v>460.69786286989807</v>
          </cell>
          <cell r="AG448">
            <v>651.11964618945592</v>
          </cell>
          <cell r="AH448" t="e">
            <v>#N/A</v>
          </cell>
          <cell r="AI448">
            <v>8790.1152235576556</v>
          </cell>
          <cell r="AJ448">
            <v>200</v>
          </cell>
          <cell r="AK448">
            <v>43.95057611778828</v>
          </cell>
        </row>
        <row r="449">
          <cell r="A449" t="str">
            <v>C343</v>
          </cell>
          <cell r="B449" t="str">
            <v>COND</v>
          </cell>
          <cell r="C449" t="str">
            <v>PEOLEII09MEDESC001</v>
          </cell>
          <cell r="D449" t="str">
            <v>VENTANILLA, SANTA ROSA Y MALACAS</v>
          </cell>
          <cell r="E449" t="str">
            <v>DESCONEXIONES ELECTRICAS ALTERNADOR (BORNES)</v>
          </cell>
          <cell r="F449" t="str">
            <v>DESCONEXION Y RECONEXION DE ESTATOR Y ROTOR</v>
          </cell>
          <cell r="G449" t="str">
            <v>LEII0900</v>
          </cell>
          <cell r="H449" t="str">
            <v>NUM</v>
          </cell>
          <cell r="I449">
            <v>1</v>
          </cell>
          <cell r="J449">
            <v>8</v>
          </cell>
          <cell r="K449">
            <v>4</v>
          </cell>
          <cell r="L449">
            <v>32</v>
          </cell>
          <cell r="M449" t="str">
            <v>SI</v>
          </cell>
          <cell r="N449">
            <v>2</v>
          </cell>
          <cell r="O449">
            <v>1</v>
          </cell>
          <cell r="P449">
            <v>3</v>
          </cell>
          <cell r="Q449">
            <v>6</v>
          </cell>
          <cell r="R449">
            <v>3</v>
          </cell>
          <cell r="S449">
            <v>9</v>
          </cell>
          <cell r="T449">
            <v>1370.1625412906399</v>
          </cell>
          <cell r="U449">
            <v>1370.1625412906399</v>
          </cell>
          <cell r="V449">
            <v>1370.1625412906399</v>
          </cell>
          <cell r="W449">
            <v>8220.9752477438396</v>
          </cell>
          <cell r="X449">
            <v>4110.4876238719198</v>
          </cell>
          <cell r="Y449">
            <v>12331.46287161576</v>
          </cell>
          <cell r="Z449">
            <v>12331.462871615759</v>
          </cell>
          <cell r="AA449">
            <v>1370.1625412906399</v>
          </cell>
          <cell r="AB449">
            <v>19.171538486527368</v>
          </cell>
          <cell r="AC449">
            <v>32</v>
          </cell>
          <cell r="AD449">
            <v>223.60992684608047</v>
          </cell>
          <cell r="AE449">
            <v>359.75840735254872</v>
          </cell>
          <cell r="AF449">
            <v>71.811453946050307</v>
          </cell>
          <cell r="AG449">
            <v>101.49352157708444</v>
          </cell>
          <cell r="AH449" t="e">
            <v>#N/A</v>
          </cell>
          <cell r="AI449">
            <v>1370.1625412906399</v>
          </cell>
          <cell r="AJ449">
            <v>32</v>
          </cell>
          <cell r="AK449">
            <v>42.817579415332496</v>
          </cell>
        </row>
        <row r="450">
          <cell r="A450" t="str">
            <v>C092</v>
          </cell>
          <cell r="B450" t="str">
            <v>COND</v>
          </cell>
          <cell r="C450" t="str">
            <v>WWOLEII09080704300</v>
          </cell>
          <cell r="D450" t="str">
            <v>VENTANILLA, SANTA ROSA Y MALACAS</v>
          </cell>
          <cell r="E450" t="str">
            <v xml:space="preserve">CONEXIÓN DE CABLE DE MEDIA TENSIÓN </v>
          </cell>
          <cell r="F450" t="str">
            <v>DESCONEXIÓN Y CONEXIÓN CABLE DE MEDIA TENSIÓN UNIPOLAR O MULTIPOLAR INCLUYE: SOLTAR LAS PUENTAS EXISTENTES (3 O 4 HILOS) Y CONEXIÓN.
NOTA: SOLO APLICA UN LADO DEL CABLE.</v>
          </cell>
          <cell r="G450" t="str">
            <v>LEII0900</v>
          </cell>
          <cell r="H450" t="str">
            <v>NUM</v>
          </cell>
          <cell r="I450">
            <v>1</v>
          </cell>
          <cell r="J450">
            <v>2</v>
          </cell>
          <cell r="K450">
            <v>2</v>
          </cell>
          <cell r="L450">
            <v>4</v>
          </cell>
          <cell r="M450" t="str">
            <v>NO</v>
          </cell>
          <cell r="N450">
            <v>4</v>
          </cell>
          <cell r="O450">
            <v>3</v>
          </cell>
          <cell r="P450">
            <v>3</v>
          </cell>
          <cell r="Q450">
            <v>12</v>
          </cell>
          <cell r="R450">
            <v>9</v>
          </cell>
          <cell r="S450">
            <v>9</v>
          </cell>
          <cell r="T450">
            <v>192.44867431860953</v>
          </cell>
          <cell r="U450">
            <v>192.44867431860953</v>
          </cell>
          <cell r="V450">
            <v>192.44867431860953</v>
          </cell>
          <cell r="W450">
            <v>2309.3840918233145</v>
          </cell>
          <cell r="X450">
            <v>1732.0380688674859</v>
          </cell>
          <cell r="Y450">
            <v>4041.4221606908004</v>
          </cell>
          <cell r="Z450">
            <v>1732.0380688674859</v>
          </cell>
          <cell r="AA450">
            <v>192.44867431860953</v>
          </cell>
          <cell r="AB450">
            <v>23.057832511738386</v>
          </cell>
          <cell r="AC450">
            <v>4</v>
          </cell>
          <cell r="AD450">
            <v>29.083700950977594</v>
          </cell>
          <cell r="AE450">
            <v>46.791777456479714</v>
          </cell>
          <cell r="AF450">
            <v>10.08640850726465</v>
          </cell>
          <cell r="AG450">
            <v>14.255457356934039</v>
          </cell>
          <cell r="AH450" t="str">
            <v>Electricidad</v>
          </cell>
          <cell r="AI450">
            <v>192.44867431860953</v>
          </cell>
          <cell r="AJ450">
            <v>4</v>
          </cell>
          <cell r="AK450">
            <v>48.112168579652383</v>
          </cell>
        </row>
        <row r="451">
          <cell r="A451" t="str">
            <v>C001</v>
          </cell>
          <cell r="B451" t="str">
            <v>COND</v>
          </cell>
          <cell r="C451" t="str">
            <v>WWOLEII09080100200</v>
          </cell>
          <cell r="D451" t="str">
            <v>VENTANILLA, SANTA ROSA Y MALACAS</v>
          </cell>
          <cell r="E451" t="str">
            <v>CONN./DESCONN. ACTUADOR HIDR. O NEUM.</v>
          </cell>
          <cell r="F451" t="str">
            <v>DESCONEXION ELECTRICA, NEUM Y HIDR DE TODAS LAS CONEXIONES DEL ACTUADOR. INCLUYE PRUEBA FUNCIÓNAL Y RECONEXION. CONTABILIZACIÓN: 40% DESCONEXION, 60% RECONEXION.</v>
          </cell>
          <cell r="G451" t="str">
            <v>LEII0900</v>
          </cell>
          <cell r="H451" t="str">
            <v>NUM</v>
          </cell>
          <cell r="I451">
            <v>1</v>
          </cell>
          <cell r="J451">
            <v>4</v>
          </cell>
          <cell r="K451">
            <v>2</v>
          </cell>
          <cell r="L451">
            <v>8</v>
          </cell>
          <cell r="M451" t="str">
            <v>NO</v>
          </cell>
          <cell r="N451">
            <v>4</v>
          </cell>
          <cell r="O451">
            <v>3</v>
          </cell>
          <cell r="P451">
            <v>3</v>
          </cell>
          <cell r="Q451">
            <v>12</v>
          </cell>
          <cell r="R451">
            <v>9</v>
          </cell>
          <cell r="S451">
            <v>9</v>
          </cell>
          <cell r="T451">
            <v>361.8942300461938</v>
          </cell>
          <cell r="U451">
            <v>361.8942300461938</v>
          </cell>
          <cell r="V451">
            <v>361.8942300461938</v>
          </cell>
          <cell r="W451">
            <v>4342.7307605543256</v>
          </cell>
          <cell r="X451">
            <v>3257.0480704157444</v>
          </cell>
          <cell r="Y451">
            <v>7599.77883097007</v>
          </cell>
          <cell r="Z451">
            <v>3257.0480704157444</v>
          </cell>
          <cell r="AA451">
            <v>361.8942300461938</v>
          </cell>
          <cell r="AB451">
            <v>23.466564118731693</v>
          </cell>
          <cell r="AC451">
            <v>8</v>
          </cell>
          <cell r="AD451">
            <v>44.063345057931038</v>
          </cell>
          <cell r="AE451">
            <v>84.324189202377681</v>
          </cell>
          <cell r="AF451">
            <v>18.967202832609736</v>
          </cell>
          <cell r="AG451">
            <v>26.806980003421764</v>
          </cell>
          <cell r="AH451" t="str">
            <v>Instrumentación</v>
          </cell>
          <cell r="AI451">
            <v>361.8942300461938</v>
          </cell>
          <cell r="AJ451">
            <v>8</v>
          </cell>
          <cell r="AK451">
            <v>45.236778755774225</v>
          </cell>
        </row>
        <row r="452">
          <cell r="A452" t="str">
            <v>C021</v>
          </cell>
          <cell r="B452" t="str">
            <v>COND</v>
          </cell>
          <cell r="C452" t="str">
            <v>WWOLEII09080200200</v>
          </cell>
          <cell r="D452" t="str">
            <v>VENTANILLA, SANTA ROSA Y MALACAS</v>
          </cell>
          <cell r="E452" t="str">
            <v>SCOLLEGAMENTO/RICOLLEGAMENTO</v>
          </cell>
          <cell r="F452" t="str">
            <v>DESCONEXION ELECTRICA DE TODAS LAS CONEXIONES INHERENTES EL ACTUADOR. INCLUYE RECONEXION Y PRUEBAS FUNCIÓNALES. CONTABILIZACIÓN: 40% DESCONEXION 60% RECONEXION.</v>
          </cell>
          <cell r="G452" t="str">
            <v>LEII0900</v>
          </cell>
          <cell r="H452" t="str">
            <v>NUM</v>
          </cell>
          <cell r="I452">
            <v>1</v>
          </cell>
          <cell r="J452">
            <v>4.5</v>
          </cell>
          <cell r="K452">
            <v>2</v>
          </cell>
          <cell r="L452">
            <v>9</v>
          </cell>
          <cell r="M452" t="str">
            <v>NO</v>
          </cell>
          <cell r="N452">
            <v>4</v>
          </cell>
          <cell r="O452">
            <v>3</v>
          </cell>
          <cell r="P452">
            <v>3</v>
          </cell>
          <cell r="Q452">
            <v>12</v>
          </cell>
          <cell r="R452">
            <v>9</v>
          </cell>
          <cell r="S452">
            <v>9</v>
          </cell>
          <cell r="T452">
            <v>426.11971333895792</v>
          </cell>
          <cell r="U452">
            <v>426.11971333895792</v>
          </cell>
          <cell r="V452">
            <v>426.11971333895792</v>
          </cell>
          <cell r="W452">
            <v>5113.4365600674955</v>
          </cell>
          <cell r="X452">
            <v>3835.0774200506212</v>
          </cell>
          <cell r="Y452">
            <v>8948.5139801181176</v>
          </cell>
          <cell r="Z452">
            <v>3835.0774200506212</v>
          </cell>
          <cell r="AA452">
            <v>426.11971333895792</v>
          </cell>
          <cell r="AB452">
            <v>23.466564118731693</v>
          </cell>
          <cell r="AC452">
            <v>9</v>
          </cell>
          <cell r="AD452">
            <v>61.72141270790226</v>
          </cell>
          <cell r="AE452">
            <v>99.301482043007496</v>
          </cell>
          <cell r="AF452">
            <v>22.333318309169702</v>
          </cell>
          <cell r="AG452">
            <v>31.564423210293182</v>
          </cell>
          <cell r="AH452" t="str">
            <v>Instrumentación</v>
          </cell>
          <cell r="AI452">
            <v>426.11971333895792</v>
          </cell>
          <cell r="AJ452">
            <v>9</v>
          </cell>
          <cell r="AK452">
            <v>47.346634815439771</v>
          </cell>
        </row>
        <row r="453">
          <cell r="A453" t="str">
            <v>P022</v>
          </cell>
          <cell r="B453" t="str">
            <v>PREV</v>
          </cell>
          <cell r="C453" t="str">
            <v>PEOLEII0900MEMOT10</v>
          </cell>
          <cell r="D453" t="str">
            <v>VENTANILLA</v>
          </cell>
          <cell r="E453" t="str">
            <v>MANTTO MOTOR SUMERGIBLE</v>
          </cell>
          <cell r="F453" t="str">
            <v>DESCONEXIÓN DE TERMINALES, PRUEBA DE RESISTENCIA DE AISLAMIENTO, RESISTENCIA DE BOBINADO Y RECONEXIÓN DEL MOTOR. REVISIÓN CUBICULO, LIMPIEZA, AJUSTE BORNES, REVISIÓN DE CONTACTORES (MANTTO, CAMBIO DE CONTACTOS), REVISIÓN Y/O CAMBIO DE FILTROS Y LAMPARAS DE SEÑALIZACIÓN. MEDICIÓN DE PARAMETROS ELÉCTRICOS EN FUNCIONAMIENTO.</v>
          </cell>
          <cell r="G453" t="str">
            <v>LEII0900</v>
          </cell>
          <cell r="H453" t="str">
            <v>NUM</v>
          </cell>
          <cell r="I453">
            <v>1</v>
          </cell>
          <cell r="J453">
            <v>1.5</v>
          </cell>
          <cell r="K453">
            <v>2</v>
          </cell>
          <cell r="L453">
            <v>3</v>
          </cell>
          <cell r="M453" t="str">
            <v>NO</v>
          </cell>
          <cell r="N453">
            <v>36</v>
          </cell>
          <cell r="O453">
            <v>0</v>
          </cell>
          <cell r="P453">
            <v>0</v>
          </cell>
          <cell r="Q453">
            <v>108</v>
          </cell>
          <cell r="R453">
            <v>0</v>
          </cell>
          <cell r="S453">
            <v>0</v>
          </cell>
          <cell r="T453">
            <v>147.8382664962717</v>
          </cell>
          <cell r="U453"/>
          <cell r="V453">
            <v>0</v>
          </cell>
          <cell r="W453">
            <v>15966.532781597343</v>
          </cell>
          <cell r="X453">
            <v>0</v>
          </cell>
          <cell r="Y453">
            <v>15966.532781597343</v>
          </cell>
          <cell r="Z453">
            <v>0</v>
          </cell>
          <cell r="AA453">
            <v>147.8382664962717</v>
          </cell>
          <cell r="AB453">
            <v>23.057832511738386</v>
          </cell>
          <cell r="AC453">
            <v>3</v>
          </cell>
          <cell r="AD453">
            <v>21.32414838407071</v>
          </cell>
          <cell r="AE453">
            <v>38.641301055095411</v>
          </cell>
          <cell r="AF453">
            <v>7.7483368184628763</v>
          </cell>
          <cell r="AG453">
            <v>10.950982703427533</v>
          </cell>
          <cell r="AH453" t="str">
            <v>Electricidad</v>
          </cell>
          <cell r="AI453">
            <v>147.8382664962717</v>
          </cell>
          <cell r="AJ453">
            <v>3</v>
          </cell>
          <cell r="AK453">
            <v>49.279422165423902</v>
          </cell>
        </row>
        <row r="454">
          <cell r="A454" t="str">
            <v>C370</v>
          </cell>
          <cell r="B454" t="str">
            <v>COND</v>
          </cell>
          <cell r="C454" t="str">
            <v>PELEII09MEDESMO002</v>
          </cell>
          <cell r="D454" t="str">
            <v>SANTA ROSA Y MALACAS</v>
          </cell>
          <cell r="E454" t="str">
            <v>Desmon/Mont de Rack de termocupla Exhaust</v>
          </cell>
          <cell r="F454" t="str">
            <v>Desconexión de instrumentación, desmontaje/montaje mecánico</v>
          </cell>
          <cell r="G454"/>
          <cell r="H454" t="str">
            <v>NUM</v>
          </cell>
          <cell r="I454">
            <v>1</v>
          </cell>
          <cell r="J454">
            <v>8</v>
          </cell>
          <cell r="K454">
            <v>4</v>
          </cell>
          <cell r="L454">
            <v>32</v>
          </cell>
          <cell r="M454" t="str">
            <v>Si</v>
          </cell>
          <cell r="N454">
            <v>0</v>
          </cell>
          <cell r="O454">
            <v>1</v>
          </cell>
          <cell r="P454">
            <v>1</v>
          </cell>
          <cell r="Q454">
            <v>0</v>
          </cell>
          <cell r="R454">
            <v>3</v>
          </cell>
          <cell r="S454">
            <v>3</v>
          </cell>
          <cell r="T454"/>
          <cell r="U454">
            <v>1504.340853491108</v>
          </cell>
          <cell r="V454">
            <v>1504.340853491108</v>
          </cell>
          <cell r="W454">
            <v>0</v>
          </cell>
          <cell r="X454">
            <v>4513.0225604733241</v>
          </cell>
          <cell r="Y454">
            <v>4513.0225604733241</v>
          </cell>
          <cell r="Z454">
            <v>4513.0225604733241</v>
          </cell>
          <cell r="AA454">
            <v>1504.340853491108</v>
          </cell>
          <cell r="AB454">
            <v>21.731550629491252</v>
          </cell>
          <cell r="AC454">
            <v>32</v>
          </cell>
          <cell r="AD454">
            <v>219.99810079509962</v>
          </cell>
          <cell r="AE454">
            <v>398.65661649226689</v>
          </cell>
          <cell r="AF454">
            <v>78.843860245865201</v>
          </cell>
          <cell r="AG454">
            <v>111.43265581415615</v>
          </cell>
          <cell r="AH454" t="e">
            <v>#N/A</v>
          </cell>
          <cell r="AI454">
            <v>1504.340853491108</v>
          </cell>
          <cell r="AJ454">
            <v>32</v>
          </cell>
          <cell r="AK454">
            <v>47.010651671597124</v>
          </cell>
        </row>
        <row r="455">
          <cell r="A455" t="str">
            <v>C037</v>
          </cell>
          <cell r="B455" t="str">
            <v>COND</v>
          </cell>
          <cell r="C455" t="str">
            <v>WWOLEII09080303600</v>
          </cell>
          <cell r="D455" t="str">
            <v>VENTANILLA, SANTA ROSA Y MALACAS</v>
          </cell>
          <cell r="E455" t="str">
            <v>DESM./MONTAJE INSTRUM TG MAJOR INSPECT</v>
          </cell>
          <cell r="F455" t="str">
            <v>DESCONEXION DE INSTRUMENTACIÓN Y CABLEADO NECESARIA PARA LA EJECUCIÓN DE MAJOR INSPECTION SOBRE TG. EL VOLUMEN EXACTO DE LA INSTRUMENTACIÓN DEPENDE DE CADA PLANTA Y SE ACLARARÁ DESPUES DE LA VISITA A TERRENO O CON ANEXO TECNICO. LA DESCONEXION SE DEBERÁ EJECUTAR ANTES DE LA PARADA Y LA RECONEXION UNA VEZ TERMINADA LA PARADA MISMA. CONTABILIZACIÓN: 40% DESMONTAJE, 60% REMONTAJE.</v>
          </cell>
          <cell r="G455" t="str">
            <v>LEII0900</v>
          </cell>
          <cell r="H455" t="str">
            <v>NUM</v>
          </cell>
          <cell r="I455">
            <v>1</v>
          </cell>
          <cell r="J455">
            <v>30</v>
          </cell>
          <cell r="K455">
            <v>8</v>
          </cell>
          <cell r="L455">
            <v>240</v>
          </cell>
          <cell r="M455" t="str">
            <v>SI</v>
          </cell>
          <cell r="N455">
            <v>4</v>
          </cell>
          <cell r="O455">
            <v>3</v>
          </cell>
          <cell r="P455">
            <v>3</v>
          </cell>
          <cell r="Q455">
            <v>12</v>
          </cell>
          <cell r="R455">
            <v>9</v>
          </cell>
          <cell r="S455">
            <v>9</v>
          </cell>
          <cell r="T455">
            <v>11638.870733883523</v>
          </cell>
          <cell r="U455">
            <v>11638.870733883523</v>
          </cell>
          <cell r="V455">
            <v>11638.870733883523</v>
          </cell>
          <cell r="W455">
            <v>139666.44880660227</v>
          </cell>
          <cell r="X455">
            <v>104749.83660495171</v>
          </cell>
          <cell r="Y455">
            <v>244416.28541155398</v>
          </cell>
          <cell r="Z455">
            <v>104749.83660495171</v>
          </cell>
          <cell r="AA455">
            <v>11638.870733883523</v>
          </cell>
          <cell r="AB455">
            <v>23.466564118731693</v>
          </cell>
          <cell r="AC455">
            <v>240</v>
          </cell>
          <cell r="AD455">
            <v>1612.591052907439</v>
          </cell>
          <cell r="AE455">
            <v>2922.1620123736152</v>
          </cell>
          <cell r="AF455">
            <v>610.00370722659966</v>
          </cell>
          <cell r="AG455">
            <v>862.13857288026088</v>
          </cell>
          <cell r="AH455" t="str">
            <v>Instrumentación</v>
          </cell>
          <cell r="AI455">
            <v>11638.870733883523</v>
          </cell>
          <cell r="AJ455">
            <v>240</v>
          </cell>
          <cell r="AK455">
            <v>48.495294724514679</v>
          </cell>
        </row>
        <row r="456">
          <cell r="A456" t="str">
            <v>C036</v>
          </cell>
          <cell r="B456" t="str">
            <v>COND</v>
          </cell>
          <cell r="C456" t="str">
            <v>WWOLEII09080303500</v>
          </cell>
          <cell r="D456" t="str">
            <v>VENTANILLA, SANTA ROSA Y MALACAS</v>
          </cell>
          <cell r="E456" t="str">
            <v>DESM./MONTAJE INSTRUM TG HGPI INSPECT</v>
          </cell>
          <cell r="F456" t="str">
            <v>DESCONEXION DE INSTRUMENTACIÓN Y CABLEADO NECESARIA PARA LA EJECUCIÓN DE HGPI INSPECTION SOBRE TG. EL VOLUMEN EXACTO DE LA INSTRUMENTACIÓN DEPENDE DE CADA PLANTA Y SE ACLARARÁ DESPUES DE LA VISITA A TERRENO O CON ANEXO TECNICO. LA DESCONEXION SE DEBERÁ EJECUTAR ANTES DE LA PARADA Y LA RECONEXION UNA VEZ TERMINADA LA PARADA MISMA. CONTABILIZACIÓN: 40% DESMONTAJE, 60% REMONTAJE.</v>
          </cell>
          <cell r="G456" t="str">
            <v>LEII0900</v>
          </cell>
          <cell r="H456" t="str">
            <v>NUM</v>
          </cell>
          <cell r="I456">
            <v>1</v>
          </cell>
          <cell r="J456">
            <v>30</v>
          </cell>
          <cell r="K456">
            <v>8</v>
          </cell>
          <cell r="L456">
            <v>240</v>
          </cell>
          <cell r="M456" t="str">
            <v>SI</v>
          </cell>
          <cell r="N456">
            <v>4</v>
          </cell>
          <cell r="O456">
            <v>3</v>
          </cell>
          <cell r="P456">
            <v>3</v>
          </cell>
          <cell r="Q456">
            <v>12</v>
          </cell>
          <cell r="R456">
            <v>9</v>
          </cell>
          <cell r="S456">
            <v>9</v>
          </cell>
          <cell r="T456">
            <v>11363.192355705547</v>
          </cell>
          <cell r="U456">
            <v>11363.192355705547</v>
          </cell>
          <cell r="V456">
            <v>11363.192355705547</v>
          </cell>
          <cell r="W456">
            <v>136358.30826846656</v>
          </cell>
          <cell r="X456">
            <v>102268.73120134992</v>
          </cell>
          <cell r="Y456">
            <v>238627.03946981649</v>
          </cell>
          <cell r="Z456">
            <v>102268.73120134992</v>
          </cell>
          <cell r="AA456">
            <v>11363.192355705547</v>
          </cell>
          <cell r="AB456">
            <v>23.466564118731693</v>
          </cell>
          <cell r="AC456">
            <v>240</v>
          </cell>
          <cell r="AD456">
            <v>1645.9043388773953</v>
          </cell>
          <cell r="AE456">
            <v>2648.039521146869</v>
          </cell>
          <cell r="AF456">
            <v>595.55515491119229</v>
          </cell>
          <cell r="AG456">
            <v>841.71795227448501</v>
          </cell>
          <cell r="AH456" t="str">
            <v>Instrumentación</v>
          </cell>
          <cell r="AI456">
            <v>11363.192355705547</v>
          </cell>
          <cell r="AJ456">
            <v>240</v>
          </cell>
          <cell r="AK456">
            <v>47.346634815439778</v>
          </cell>
        </row>
        <row r="457">
          <cell r="A457" t="str">
            <v>C176</v>
          </cell>
          <cell r="B457" t="str">
            <v>COND</v>
          </cell>
          <cell r="C457" t="str">
            <v>WWOMMIM01060200100</v>
          </cell>
          <cell r="D457" t="str">
            <v>VENTANILLA, SANTA ROSA Y MALACAS</v>
          </cell>
          <cell r="E457" t="str">
            <v>BBA CENTR. HORIZ &lt;10KW: DESMNT Y MONTAJE</v>
          </cell>
          <cell r="F457" t="str">
            <v xml:space="preserve">DESCON TUBERIAS ASPIR/ADMIS Y ACESORIOS, DESACOPL JUNTA Y EVENT SEMIJUNTAS (CON EVENT REEMPLAZO), DESARME DE LA BOMBA DEL SITIO Y TRANSP EN AREA INDIC ENEL. RETIRO DE ALMAC BOMBA NUEVA/REACOND, TRANSP A PIE OBRA, LIMPIEZA SUPERFICIES, MONTAJE BOMBA, ACOPLAM JUNTA, CONEXION TUBERIAS Y ACESORIOS, SUSTITUCIÓN JUNTAS. EJECUCIÓN ALINEACIÓN Y REGULAC SELLO/EMPAQUETADURA. ASISTENCIA PUESTA EN MARCHA. SE CONSIDERA: DESMONTAJE 40% REMONTAJE 60% </v>
          </cell>
          <cell r="G457" t="str">
            <v>MMIM0100</v>
          </cell>
          <cell r="H457" t="str">
            <v>NUM</v>
          </cell>
          <cell r="I457">
            <v>1</v>
          </cell>
          <cell r="J457">
            <v>16</v>
          </cell>
          <cell r="K457">
            <v>2</v>
          </cell>
          <cell r="L457">
            <v>32</v>
          </cell>
          <cell r="M457" t="str">
            <v>NO</v>
          </cell>
          <cell r="N457">
            <v>4</v>
          </cell>
          <cell r="O457">
            <v>3</v>
          </cell>
          <cell r="P457">
            <v>3</v>
          </cell>
          <cell r="Q457">
            <v>12</v>
          </cell>
          <cell r="R457">
            <v>9</v>
          </cell>
          <cell r="S457">
            <v>9</v>
          </cell>
          <cell r="T457">
            <v>1370.1625412906392</v>
          </cell>
          <cell r="U457">
            <v>1370.1625412906392</v>
          </cell>
          <cell r="V457">
            <v>1370.1625412906392</v>
          </cell>
          <cell r="W457">
            <v>16441.950495487668</v>
          </cell>
          <cell r="X457">
            <v>12331.462871615753</v>
          </cell>
          <cell r="Y457">
            <v>28773.413367103421</v>
          </cell>
          <cell r="Z457">
            <v>12331.462871615753</v>
          </cell>
          <cell r="AA457">
            <v>1370.1625412906392</v>
          </cell>
          <cell r="AB457">
            <v>19.171538486527368</v>
          </cell>
          <cell r="AC457">
            <v>32</v>
          </cell>
          <cell r="AD457">
            <v>223.60992684608024</v>
          </cell>
          <cell r="AE457">
            <v>359.75840735254837</v>
          </cell>
          <cell r="AF457">
            <v>71.811453946050264</v>
          </cell>
          <cell r="AG457">
            <v>101.49352157708438</v>
          </cell>
          <cell r="AH457" t="str">
            <v>Mecánica</v>
          </cell>
          <cell r="AI457">
            <v>1370.1625412906392</v>
          </cell>
          <cell r="AJ457">
            <v>32</v>
          </cell>
          <cell r="AK457">
            <v>42.817579415332474</v>
          </cell>
        </row>
        <row r="458">
          <cell r="A458" t="str">
            <v>C179</v>
          </cell>
          <cell r="B458" t="str">
            <v>COND</v>
          </cell>
          <cell r="C458" t="str">
            <v>WWOMMIM01060200700</v>
          </cell>
          <cell r="D458" t="str">
            <v>VENTANILLA, SANTA ROSA Y MALACAS</v>
          </cell>
          <cell r="E458" t="str">
            <v>BBA CENTR.HORIZ&gt;10&lt;50KW:DESMNT Y MONTAJE</v>
          </cell>
          <cell r="F458" t="str">
            <v xml:space="preserve">DESCON TUBERIAS ASPIR/ADMIS Y ACESORIOS, DESACOPL JUNTA Y EVENT SEMIJUNTAS (CON EVENT REEMPLAZO), DESARME DE LA BOMBA DEL SITIO Y TRANSP EN AREA INDIC ENEL. RETIRO DE ALMAC BOMBA NUEVA/REACOND, TRANSP A PIE OBRA, LIMPIEZA SUPERFICIES, MONTAJE BOMBA, ACOPLAM JUNTA, CONEXION TUBERIAS Y ACESORIOS, SUSTITUCIÓN JUNTAS. EJECUCIÓN ALINEACIÓN Y REGULAC SELLO/EMPAQUETADURA. ASISTENCIA PUESTA EN MARCHA. SE CONSIDERA: DESMONTAJE 40% REMONTAJE 60% </v>
          </cell>
          <cell r="G458" t="str">
            <v>MMIM0100</v>
          </cell>
          <cell r="H458" t="str">
            <v>NUM</v>
          </cell>
          <cell r="I458">
            <v>1</v>
          </cell>
          <cell r="J458">
            <v>18</v>
          </cell>
          <cell r="K458">
            <v>2</v>
          </cell>
          <cell r="L458">
            <v>36</v>
          </cell>
          <cell r="M458" t="str">
            <v>SI</v>
          </cell>
          <cell r="N458">
            <v>4</v>
          </cell>
          <cell r="O458">
            <v>3</v>
          </cell>
          <cell r="P458">
            <v>3</v>
          </cell>
          <cell r="Q458">
            <v>12</v>
          </cell>
          <cell r="R458">
            <v>9</v>
          </cell>
          <cell r="S458">
            <v>9</v>
          </cell>
          <cell r="T458">
            <v>1861.8090116231274</v>
          </cell>
          <cell r="U458">
            <v>1861.8090116231274</v>
          </cell>
          <cell r="V458">
            <v>1861.8090116231274</v>
          </cell>
          <cell r="W458">
            <v>22341.70813947753</v>
          </cell>
          <cell r="X458">
            <v>16756.281104608148</v>
          </cell>
          <cell r="Y458">
            <v>39097.989244085678</v>
          </cell>
          <cell r="Z458">
            <v>16756.281104608148</v>
          </cell>
          <cell r="AA458">
            <v>1861.8090116231274</v>
          </cell>
          <cell r="AB458">
            <v>20.776439546856693</v>
          </cell>
          <cell r="AC458">
            <v>36</v>
          </cell>
          <cell r="AD458">
            <v>336.68510474046104</v>
          </cell>
          <cell r="AE458">
            <v>541.68121589758243</v>
          </cell>
          <cell r="AF458">
            <v>97.579088659493053</v>
          </cell>
          <cell r="AG458">
            <v>137.91177863875018</v>
          </cell>
          <cell r="AH458" t="str">
            <v>Mecánica</v>
          </cell>
          <cell r="AI458">
            <v>1861.8090116231274</v>
          </cell>
          <cell r="AJ458">
            <v>36</v>
          </cell>
          <cell r="AK458">
            <v>51.716916989531313</v>
          </cell>
        </row>
        <row r="459">
          <cell r="A459" t="str">
            <v>C180</v>
          </cell>
          <cell r="B459" t="str">
            <v>COND</v>
          </cell>
          <cell r="C459" t="str">
            <v>WWOMMIM01060201900</v>
          </cell>
          <cell r="D459" t="str">
            <v>VENTANILLA, SANTA ROSA Y MALACAS</v>
          </cell>
          <cell r="E459" t="str">
            <v>BBA CENTR.HORIZ&gt;130&lt;250KW:DESMNT Y MNTJE</v>
          </cell>
          <cell r="F459" t="str">
            <v xml:space="preserve">DESCON TUBERIAS ASPIR/ADMIS Y ACESORIOS, DESACOPL JUNTA Y EVENT SEMIJUNTAS (CON EVENT REEMPLAZO), DESARME DE LA BOMBA DEL SITIO Y TRANSP EN AREA INDIC ENEL. RETIRO DE ALMAC BOMBA NUEVA/REACOND, TRANSP A PIE OBRA, LIMPIEZA SUPERFICIES, MONTAJE BOMBA, ACOPLAM JUNTA, CONEXION TUBERIAS Y ACESORIOS, SUSTITUCIÓN JUNTAS. EJECUCIÓN ALINEACIÓN Y REGULAC SELLO/EMPAQUETADURA. ASISTENCIA PUESTA EN MARCHA. SE CONSIDERA: DESMONTAJE 40% REMONTAJE 60% </v>
          </cell>
          <cell r="G459" t="str">
            <v>MMIM0100</v>
          </cell>
          <cell r="H459" t="str">
            <v>NUM</v>
          </cell>
          <cell r="I459">
            <v>1</v>
          </cell>
          <cell r="J459">
            <v>20</v>
          </cell>
          <cell r="K459">
            <v>3</v>
          </cell>
          <cell r="L459">
            <v>60</v>
          </cell>
          <cell r="M459" t="str">
            <v>SI</v>
          </cell>
          <cell r="N459">
            <v>4</v>
          </cell>
          <cell r="O459">
            <v>3</v>
          </cell>
          <cell r="P459">
            <v>3</v>
          </cell>
          <cell r="Q459">
            <v>12</v>
          </cell>
          <cell r="R459">
            <v>9</v>
          </cell>
          <cell r="S459">
            <v>9</v>
          </cell>
          <cell r="T459">
            <v>2745.2845872830612</v>
          </cell>
          <cell r="U459">
            <v>2745.2845872830612</v>
          </cell>
          <cell r="V459">
            <v>2745.2845872830612</v>
          </cell>
          <cell r="W459">
            <v>32943.415047396731</v>
          </cell>
          <cell r="X459">
            <v>24707.561285547552</v>
          </cell>
          <cell r="Y459">
            <v>57650.976332944279</v>
          </cell>
          <cell r="Z459">
            <v>24707.561285547552</v>
          </cell>
          <cell r="AA459">
            <v>2745.2845872830612</v>
          </cell>
          <cell r="AB459">
            <v>21.533127692412712</v>
          </cell>
          <cell r="AC459">
            <v>60</v>
          </cell>
          <cell r="AD459">
            <v>423.9618570521431</v>
          </cell>
          <cell r="AE459">
            <v>682.09781480898255</v>
          </cell>
          <cell r="AF459">
            <v>143.88284000435328</v>
          </cell>
          <cell r="AG459">
            <v>203.35441387281935</v>
          </cell>
          <cell r="AH459" t="str">
            <v>Mecánica</v>
          </cell>
          <cell r="AI459">
            <v>2745.2845872830612</v>
          </cell>
          <cell r="AJ459">
            <v>60</v>
          </cell>
          <cell r="AK459">
            <v>45.754743121384351</v>
          </cell>
        </row>
        <row r="460">
          <cell r="A460" t="str">
            <v>C181</v>
          </cell>
          <cell r="B460" t="str">
            <v>COND</v>
          </cell>
          <cell r="C460" t="str">
            <v>WWOMMIM01060202500</v>
          </cell>
          <cell r="D460" t="str">
            <v>VENTANILLA, SANTA ROSA Y MALACAS</v>
          </cell>
          <cell r="E460" t="str">
            <v>BBA CENTR.HORIZ&gt;250KW:DESMNT Y MNTJE</v>
          </cell>
          <cell r="F460" t="str">
            <v xml:space="preserve">DESCON TUBERIAS ASPIR/ADMIS Y ACESORIOS, DESACOPL JUNTA Y EVENT SEMIJUNTAS (CON EVENT REEMPLAZO), DESARME DE LA BOMBA DEL SITIO Y TRANSP EN AREA INDIC ENEL. RETIRO DE ALMAC BOMBA NUEVA/REACOND, TRANSP A PIE OBRA, LIMPIEZA SUPERFICIES, MONTAJE BOMBA, ACOPLAM JUNTA, CONEXION TUBERIAS Y ACESORIOS, SUSTITUCIÓN JUNTAS. EJECUCIÓN ALINEACIÓN Y REGULAC SELLO/EMPAQUETADURA. ASISTENCIA PUESTA EN MARCHA. SE CONSIDERA: DESMONTAJE 40% REMONTAJE 60% </v>
          </cell>
          <cell r="G460" t="str">
            <v>MMIM0100</v>
          </cell>
          <cell r="H460" t="str">
            <v>NUM</v>
          </cell>
          <cell r="I460">
            <v>1</v>
          </cell>
          <cell r="J460">
            <v>20</v>
          </cell>
          <cell r="K460">
            <v>3</v>
          </cell>
          <cell r="L460">
            <v>60</v>
          </cell>
          <cell r="M460" t="str">
            <v>SI</v>
          </cell>
          <cell r="N460">
            <v>4</v>
          </cell>
          <cell r="O460">
            <v>3</v>
          </cell>
          <cell r="P460">
            <v>3</v>
          </cell>
          <cell r="Q460">
            <v>12</v>
          </cell>
          <cell r="R460">
            <v>9</v>
          </cell>
          <cell r="S460">
            <v>9</v>
          </cell>
          <cell r="T460">
            <v>2745.2845872830635</v>
          </cell>
          <cell r="U460">
            <v>2745.2845872830635</v>
          </cell>
          <cell r="V460">
            <v>2745.2845872830635</v>
          </cell>
          <cell r="W460">
            <v>32943.41504739676</v>
          </cell>
          <cell r="X460">
            <v>24707.56128554757</v>
          </cell>
          <cell r="Y460">
            <v>57650.97633294433</v>
          </cell>
          <cell r="Z460">
            <v>24707.56128554757</v>
          </cell>
          <cell r="AA460">
            <v>2745.2845872830635</v>
          </cell>
          <cell r="AB460">
            <v>21.533127692412712</v>
          </cell>
          <cell r="AC460">
            <v>60</v>
          </cell>
          <cell r="AD460">
            <v>423.96185705214396</v>
          </cell>
          <cell r="AE460">
            <v>682.09781480898391</v>
          </cell>
          <cell r="AF460">
            <v>143.88284000435343</v>
          </cell>
          <cell r="AG460">
            <v>203.35441387281955</v>
          </cell>
          <cell r="AH460" t="str">
            <v>Mecánica</v>
          </cell>
          <cell r="AI460">
            <v>2745.2845872830635</v>
          </cell>
          <cell r="AJ460">
            <v>60</v>
          </cell>
          <cell r="AK460">
            <v>45.754743121384394</v>
          </cell>
        </row>
        <row r="461">
          <cell r="A461" t="str">
            <v>C182</v>
          </cell>
          <cell r="B461" t="str">
            <v>COND</v>
          </cell>
          <cell r="C461" t="str">
            <v>WWOMMIM01060201300</v>
          </cell>
          <cell r="D461" t="str">
            <v>VENTANILLA, SANTA ROSA Y MALACAS</v>
          </cell>
          <cell r="E461" t="str">
            <v>BBA CENTR.HORIZ&gt;50&lt;130KW:DESMNT Y MNTAJE</v>
          </cell>
          <cell r="F461" t="str">
            <v xml:space="preserve">DESCON TUBERIAS ASPIR/ADMIS Y ACESORIOS, DESACOPL JUNTA Y EVENT SEMIJUNTAS (CON EVENT REEMPLAZO), DESARME DE LA BOMBA DEL SITIO Y TRANSP EN AREA INDIC ENEL. RETIRO DE ALMAC BOMBA NUEVA/REACOND, TRANSP A PIE OBRA, LIMPIEZA SUPERFICIES, MONTAJE BOMBA, ACOPLAM JUNTA, CONEXION TUBERIAS Y ACESORIOS, SUSTITUCIÓN JUNTAS. EJECUCIÓN ALINEACIÓN Y REGULAC SELLO/EMPAQUETADURA. ASISTENCIA PUESTA EN MARCHA. SE CONSIDERA: DESMONTAJE 40% REMONTAJE 60% </v>
          </cell>
          <cell r="G461" t="str">
            <v>MMIM0100</v>
          </cell>
          <cell r="H461" t="str">
            <v>NUM</v>
          </cell>
          <cell r="I461">
            <v>1</v>
          </cell>
          <cell r="J461">
            <v>18</v>
          </cell>
          <cell r="K461">
            <v>2</v>
          </cell>
          <cell r="L461">
            <v>36</v>
          </cell>
          <cell r="M461" t="str">
            <v>SI</v>
          </cell>
          <cell r="N461">
            <v>4</v>
          </cell>
          <cell r="O461">
            <v>3</v>
          </cell>
          <cell r="P461">
            <v>3</v>
          </cell>
          <cell r="Q461">
            <v>12</v>
          </cell>
          <cell r="R461">
            <v>9</v>
          </cell>
          <cell r="S461">
            <v>9</v>
          </cell>
          <cell r="T461">
            <v>1756.0647721754508</v>
          </cell>
          <cell r="U461">
            <v>1756.0647721754508</v>
          </cell>
          <cell r="V461">
            <v>1756.0647721754508</v>
          </cell>
          <cell r="W461">
            <v>21072.777266105411</v>
          </cell>
          <cell r="X461">
            <v>15804.582949579057</v>
          </cell>
          <cell r="Y461">
            <v>36877.360215684472</v>
          </cell>
          <cell r="Z461">
            <v>15804.582949579057</v>
          </cell>
          <cell r="AA461">
            <v>1756.0647721754508</v>
          </cell>
          <cell r="AB461">
            <v>20.776439546856693</v>
          </cell>
          <cell r="AC461">
            <v>36</v>
          </cell>
          <cell r="AD461">
            <v>301.27923027259874</v>
          </cell>
          <cell r="AE461">
            <v>484.71790845797051</v>
          </cell>
          <cell r="AF461">
            <v>92.036937745044597</v>
          </cell>
          <cell r="AG461">
            <v>130.07887201299636</v>
          </cell>
          <cell r="AH461" t="str">
            <v>Mecánica</v>
          </cell>
          <cell r="AI461">
            <v>1756.0647721754508</v>
          </cell>
          <cell r="AJ461">
            <v>36</v>
          </cell>
          <cell r="AK461">
            <v>48.77957700487363</v>
          </cell>
        </row>
        <row r="462">
          <cell r="A462" t="str">
            <v>C006</v>
          </cell>
          <cell r="B462" t="str">
            <v>COND</v>
          </cell>
          <cell r="C462" t="str">
            <v>WWOLEII09080100700</v>
          </cell>
          <cell r="D462" t="str">
            <v>VENTANILLA, SANTA ROSA Y MALACAS</v>
          </cell>
          <cell r="E462" t="str">
            <v>DESMONTAJE/ MONTAJE ACTUADOR&gt;8 IN</v>
          </cell>
          <cell r="F462" t="str">
            <v>DEMONTAJE Y REMONTAJE ACTUADOR PARA VÁLVULAS MAYORES DE 8 PULGADAS. INCLUYE DESACOPLAMIENTO MECANICO DE LA VÁLVULA, DESCONEXION ELECTRICA Y DE LOS FLUIDOS MOTORES (AIRE/ACEITE). EN FASE DE REMONTAJE INCLUYE LA LIMPIEZA DE LAS SUPERIFCIES, LUBRICACIÓN, PRUEBAS FUNCIÓNALES. CONTABILIZACIÓN: 40% DESCONEXION, 60% RECONEXION</v>
          </cell>
          <cell r="G462" t="str">
            <v>LEII0900</v>
          </cell>
          <cell r="H462" t="str">
            <v>NUM</v>
          </cell>
          <cell r="I462">
            <v>1</v>
          </cell>
          <cell r="J462">
            <v>10</v>
          </cell>
          <cell r="K462">
            <v>2</v>
          </cell>
          <cell r="L462">
            <v>20</v>
          </cell>
          <cell r="M462" t="str">
            <v>SI</v>
          </cell>
          <cell r="N462">
            <v>4</v>
          </cell>
          <cell r="O462">
            <v>3</v>
          </cell>
          <cell r="P462">
            <v>3</v>
          </cell>
          <cell r="Q462">
            <v>12</v>
          </cell>
          <cell r="R462">
            <v>9</v>
          </cell>
          <cell r="S462">
            <v>9</v>
          </cell>
          <cell r="T462">
            <v>975.59154009747169</v>
          </cell>
          <cell r="U462">
            <v>975.59154009747169</v>
          </cell>
          <cell r="V462">
            <v>975.59154009747169</v>
          </cell>
          <cell r="W462">
            <v>11707.09848116966</v>
          </cell>
          <cell r="X462">
            <v>8780.3238608772444</v>
          </cell>
          <cell r="Y462">
            <v>20487.422342046906</v>
          </cell>
          <cell r="Z462">
            <v>8780.3238608772444</v>
          </cell>
          <cell r="AA462">
            <v>975.59154009747169</v>
          </cell>
          <cell r="AB462">
            <v>19.171538486527368</v>
          </cell>
          <cell r="AC462">
            <v>20</v>
          </cell>
          <cell r="AD462">
            <v>179.68078822503773</v>
          </cell>
          <cell r="AE462">
            <v>289.08231005408618</v>
          </cell>
          <cell r="AF462">
            <v>51.131632080580275</v>
          </cell>
          <cell r="AG462">
            <v>72.266040007220127</v>
          </cell>
          <cell r="AH462" t="str">
            <v>Mecánica</v>
          </cell>
          <cell r="AI462">
            <v>975.59154009747169</v>
          </cell>
          <cell r="AJ462">
            <v>20</v>
          </cell>
          <cell r="AK462">
            <v>48.779577004873587</v>
          </cell>
        </row>
        <row r="463">
          <cell r="A463" t="str">
            <v>C004</v>
          </cell>
          <cell r="B463" t="str">
            <v>COND</v>
          </cell>
          <cell r="C463" t="str">
            <v>WWOLEII09080100600</v>
          </cell>
          <cell r="D463" t="str">
            <v>VENTANILLA, SANTA ROSA Y MALACAS</v>
          </cell>
          <cell r="E463" t="str">
            <v>DESMONTAJE/ MONTAJE ACTUADOR &gt;4 Y &lt;= 8 IN</v>
          </cell>
          <cell r="F463" t="str">
            <v>DEMONTAJE Y REMONTAJE ACTUADOR PARA VÁLVULAS MAYORES DE 4 HASTA 8 PULGADAS. INCLUYE DESACOPLAMIENTO MECANICO DE LA VÁLVULA, DESCONEXION ELECTRICA Y DE LOS FLUIDOS MOTORES (AIRE/ACEITE). EN FASE DE REMONTAJE INCLUYE LA LIMPIEZA DE LAS SUPERIFCIES, LUBRICACIÓN, PRUEBAS FUNCIÓNALES. CONTABILIZACIÓN: 40% DESCONEXION, 60% RECONEXION</v>
          </cell>
          <cell r="G463" t="str">
            <v>LEII0900</v>
          </cell>
          <cell r="H463" t="str">
            <v>NUM</v>
          </cell>
          <cell r="I463">
            <v>1</v>
          </cell>
          <cell r="J463">
            <v>8</v>
          </cell>
          <cell r="K463">
            <v>2</v>
          </cell>
          <cell r="L463">
            <v>16</v>
          </cell>
          <cell r="M463" t="str">
            <v>NO</v>
          </cell>
          <cell r="N463">
            <v>4</v>
          </cell>
          <cell r="O463">
            <v>3</v>
          </cell>
          <cell r="P463">
            <v>3</v>
          </cell>
          <cell r="Q463">
            <v>12</v>
          </cell>
          <cell r="R463">
            <v>9</v>
          </cell>
          <cell r="S463">
            <v>9</v>
          </cell>
          <cell r="T463">
            <v>792.3833441133288</v>
          </cell>
          <cell r="U463">
            <v>792.3833441133288</v>
          </cell>
          <cell r="V463">
            <v>792.3833441133288</v>
          </cell>
          <cell r="W463">
            <v>9508.6001293599456</v>
          </cell>
          <cell r="X463">
            <v>7131.4500970199588</v>
          </cell>
          <cell r="Y463">
            <v>16640.050226379906</v>
          </cell>
          <cell r="Z463">
            <v>7131.4500970199588</v>
          </cell>
          <cell r="AA463">
            <v>792.3833441133288</v>
          </cell>
          <cell r="AB463">
            <v>24.651405043854062</v>
          </cell>
          <cell r="AC463">
            <v>16</v>
          </cell>
          <cell r="AD463">
            <v>114.12478683489809</v>
          </cell>
          <cell r="AE463">
            <v>183.61148867703648</v>
          </cell>
          <cell r="AF463">
            <v>41.529525372815968</v>
          </cell>
          <cell r="AG463">
            <v>58.695062526913247</v>
          </cell>
          <cell r="AH463" t="str">
            <v>Mecánica</v>
          </cell>
          <cell r="AI463">
            <v>792.3833441133288</v>
          </cell>
          <cell r="AJ463">
            <v>16</v>
          </cell>
          <cell r="AK463">
            <v>49.52395900708305</v>
          </cell>
        </row>
        <row r="464">
          <cell r="A464" t="str">
            <v>C003</v>
          </cell>
          <cell r="B464" t="str">
            <v>COND</v>
          </cell>
          <cell r="C464" t="str">
            <v>WWOLEII09080100500</v>
          </cell>
          <cell r="D464" t="str">
            <v>VENTANILLA, SANTA ROSA Y MALACAS</v>
          </cell>
          <cell r="E464" t="str">
            <v>DESMONTAJE/ MONTAJE ACTUADOR &gt;2&lt;=4 IN</v>
          </cell>
          <cell r="F464" t="str">
            <v>DEMONTAJE Y REMONTAJE ACTUADOR PARA VÁLVULAS MAYORES DE 2 HASTA 4 PULGADAS. INCLUYE DESACOPLAMIENTO MECANICO DE LA VÁLVULA, DESCONEXION ELECTRICA Y DE LOS FLUIDOS MOTORES (AIRE/ACEITE). EN FASE DE REMONTAJE INCLUYE LA LIMPIEZA DE LAS SUPERIFCIES, LUBRICACIÓN, PRUEBAS FUNCIÓNALES. CONTABILIZACIÓN: 40% DESCONEXION, 60% RECONEXION</v>
          </cell>
          <cell r="G464" t="str">
            <v>LEII0900</v>
          </cell>
          <cell r="H464" t="str">
            <v>NUM</v>
          </cell>
          <cell r="I464">
            <v>1</v>
          </cell>
          <cell r="J464">
            <v>6</v>
          </cell>
          <cell r="K464">
            <v>2</v>
          </cell>
          <cell r="L464">
            <v>12</v>
          </cell>
          <cell r="M464" t="str">
            <v>NO</v>
          </cell>
          <cell r="N464">
            <v>4</v>
          </cell>
          <cell r="O464">
            <v>3</v>
          </cell>
          <cell r="P464">
            <v>3</v>
          </cell>
          <cell r="Q464">
            <v>12</v>
          </cell>
          <cell r="R464">
            <v>9</v>
          </cell>
          <cell r="S464">
            <v>9</v>
          </cell>
          <cell r="T464">
            <v>539.07229130085079</v>
          </cell>
          <cell r="U464">
            <v>539.07229130085079</v>
          </cell>
          <cell r="V464">
            <v>539.07229130085079</v>
          </cell>
          <cell r="W464">
            <v>6468.8674956102095</v>
          </cell>
          <cell r="X464">
            <v>4851.6506217076567</v>
          </cell>
          <cell r="Y464">
            <v>11320.518117317866</v>
          </cell>
          <cell r="Z464">
            <v>4851.6506217076567</v>
          </cell>
          <cell r="AA464">
            <v>539.07229130085079</v>
          </cell>
          <cell r="AB464">
            <v>20.776439546856693</v>
          </cell>
          <cell r="AC464">
            <v>12</v>
          </cell>
          <cell r="AD464">
            <v>84.92980153783239</v>
          </cell>
          <cell r="AE464">
            <v>136.64066962040684</v>
          </cell>
          <cell r="AF464">
            <v>28.253264743231171</v>
          </cell>
          <cell r="AG464">
            <v>39.931280837100061</v>
          </cell>
          <cell r="AH464" t="str">
            <v>Mecánica</v>
          </cell>
          <cell r="AI464">
            <v>539.07229130085079</v>
          </cell>
          <cell r="AJ464">
            <v>12</v>
          </cell>
          <cell r="AK464">
            <v>44.922690941737564</v>
          </cell>
        </row>
        <row r="465">
          <cell r="A465" t="str">
            <v>C005</v>
          </cell>
          <cell r="B465" t="str">
            <v>COND</v>
          </cell>
          <cell r="C465" t="str">
            <v>WWOLEII09080100400</v>
          </cell>
          <cell r="D465" t="str">
            <v>VENTANILLA, SANTA ROSA Y MALACAS</v>
          </cell>
          <cell r="E465" t="str">
            <v>DESMONTAJE/ MONTAJE ACTUADOR&lt;= 2 IN</v>
          </cell>
          <cell r="F465" t="str">
            <v>DEMONTAJE Y REMONTAJE ACTUADOR PARA VÁLVULAS HASTA 2 PULGADAS. INCLUYE DESACOPLAMIENTO MECANICO DE LA VÁLVULA, DESCONEXION ELECTRICA Y DE LOS FLUIDOS MOTORES (AIRE/ACEITE). EN FASE DE REMONTAJE INCLUYE LA LIMPIEZA DE LAS SUPERIFCIES, LUBRICACIÓN, PRUEBAS FUNCIÓNALES. CONTABILIZACIÓN: 40% DESCONEXION, 60% RECONEXION</v>
          </cell>
          <cell r="G465" t="str">
            <v>LEII0900</v>
          </cell>
          <cell r="H465" t="str">
            <v>NUM</v>
          </cell>
          <cell r="I465">
            <v>1</v>
          </cell>
          <cell r="J465">
            <v>5</v>
          </cell>
          <cell r="K465">
            <v>2</v>
          </cell>
          <cell r="L465">
            <v>10</v>
          </cell>
          <cell r="M465" t="str">
            <v>NO</v>
          </cell>
          <cell r="N465">
            <v>4</v>
          </cell>
          <cell r="O465">
            <v>3</v>
          </cell>
          <cell r="P465">
            <v>3</v>
          </cell>
          <cell r="Q465">
            <v>12</v>
          </cell>
          <cell r="R465">
            <v>9</v>
          </cell>
          <cell r="S465">
            <v>9</v>
          </cell>
          <cell r="T465">
            <v>449.22690941737557</v>
          </cell>
          <cell r="U465">
            <v>449.22690941737557</v>
          </cell>
          <cell r="V465">
            <v>449.22690941737557</v>
          </cell>
          <cell r="W465">
            <v>5390.722913008507</v>
          </cell>
          <cell r="X465">
            <v>4043.0421847563803</v>
          </cell>
          <cell r="Y465">
            <v>9433.7650977648882</v>
          </cell>
          <cell r="Z465">
            <v>4043.0421847563803</v>
          </cell>
          <cell r="AA465">
            <v>449.22690941737557</v>
          </cell>
          <cell r="AB465">
            <v>20.776439546856693</v>
          </cell>
          <cell r="AC465">
            <v>10</v>
          </cell>
          <cell r="AD465">
            <v>70.774834614860282</v>
          </cell>
          <cell r="AE465">
            <v>113.86722468367229</v>
          </cell>
          <cell r="AF465">
            <v>23.544387286025973</v>
          </cell>
          <cell r="AG465">
            <v>33.276067364250046</v>
          </cell>
          <cell r="AH465" t="str">
            <v>Mecánica</v>
          </cell>
          <cell r="AI465">
            <v>449.22690941737557</v>
          </cell>
          <cell r="AJ465">
            <v>10</v>
          </cell>
          <cell r="AK465">
            <v>44.922690941737557</v>
          </cell>
        </row>
        <row r="466">
          <cell r="A466" t="str">
            <v>C338</v>
          </cell>
          <cell r="B466" t="str">
            <v>COND</v>
          </cell>
          <cell r="C466" t="str">
            <v>PEOLEII09MEMONIT01</v>
          </cell>
          <cell r="D466" t="str">
            <v>VENTANILLA</v>
          </cell>
          <cell r="E466" t="str">
            <v>CONTROL DE OPERACIÓN DE POZOS DE SUM DE AGUA 3,4,5</v>
          </cell>
          <cell r="F466" t="str">
            <v>CONTROL DE ARRANQUE Y PARADA LOCAL DE POZOS DE SUM DE AGUA 3,4,5</v>
          </cell>
          <cell r="G466" t="str">
            <v>LEII0900</v>
          </cell>
          <cell r="H466" t="str">
            <v>NUM</v>
          </cell>
          <cell r="I466">
            <v>1</v>
          </cell>
          <cell r="J466">
            <v>12</v>
          </cell>
          <cell r="K466">
            <v>1</v>
          </cell>
          <cell r="L466">
            <v>12</v>
          </cell>
          <cell r="M466" t="str">
            <v>NO</v>
          </cell>
          <cell r="N466">
            <v>4</v>
          </cell>
          <cell r="O466">
            <v>0</v>
          </cell>
          <cell r="P466">
            <v>0</v>
          </cell>
          <cell r="Q466">
            <v>12</v>
          </cell>
          <cell r="R466">
            <v>0</v>
          </cell>
          <cell r="S466">
            <v>0</v>
          </cell>
          <cell r="T466">
            <v>474.9874309399728</v>
          </cell>
          <cell r="U466"/>
          <cell r="V466">
            <v>0</v>
          </cell>
          <cell r="W466">
            <v>5699.8491712796731</v>
          </cell>
          <cell r="X466">
            <v>0</v>
          </cell>
          <cell r="Y466">
            <v>5699.8491712796731</v>
          </cell>
          <cell r="Z466">
            <v>0</v>
          </cell>
          <cell r="AA466">
            <v>474.9874309399728</v>
          </cell>
          <cell r="AB466">
            <v>16.258781599143944</v>
          </cell>
          <cell r="AC466">
            <v>12</v>
          </cell>
          <cell r="AD466">
            <v>84.252421788674269</v>
          </cell>
          <cell r="AE466">
            <v>135.55085637657112</v>
          </cell>
          <cell r="AF466">
            <v>24.894519441298364</v>
          </cell>
          <cell r="AG466">
            <v>35.184254143701686</v>
          </cell>
          <cell r="AH466" t="e">
            <v>#N/A</v>
          </cell>
          <cell r="AI466">
            <v>474.9874309399728</v>
          </cell>
          <cell r="AJ466">
            <v>12</v>
          </cell>
          <cell r="AK466">
            <v>39.5822859116644</v>
          </cell>
        </row>
        <row r="467">
          <cell r="A467" t="str">
            <v>C089</v>
          </cell>
          <cell r="B467" t="str">
            <v>COND</v>
          </cell>
          <cell r="C467" t="str">
            <v>WWOLEII09080703500</v>
          </cell>
          <cell r="D467" t="str">
            <v>VENTANILLA, SANTA ROSA Y MALACAS</v>
          </cell>
          <cell r="E467" t="str">
            <v>CONEXIÓN CABLE DE SEÑAL &lt;= 6 PUNTAS</v>
          </cell>
          <cell r="F467" t="str">
            <v>CONEXIÓN CABLE DE SEÑAL DE 1 A 6 PUNTAS, EL CUAL INCLUYE: PREPARACIÓN DEL CABLE, INSTALACIÓN DE TERMINALES, INSTALACIÓN DE MARQUILLAS, MARCAS, FERULADOS O IDENTIFICACIÓN, CONEXIÓN SEGÚN ESQUEMA, ORGANIZACIÓN DEL CABLE EN EL TABLERO (INCLUIDO LOS ACCESORIOS PARA TAL FIN), MARCAS DEL POLICABLES ETC. SE DEBE INCLUIR PEQUEÑOS MATERIALES TALES COMO: ABRAZADERAS PLASTICAS, MARCAS TERMO RETRACTIL, PUNTERAS O TERMINALES ETC. NOTA: SOLO APLICA UN LADO DEL CABLE.</v>
          </cell>
          <cell r="G467" t="str">
            <v>LEII0900</v>
          </cell>
          <cell r="H467" t="str">
            <v>NUM</v>
          </cell>
          <cell r="I467">
            <v>1</v>
          </cell>
          <cell r="J467">
            <v>9</v>
          </cell>
          <cell r="K467">
            <v>2</v>
          </cell>
          <cell r="L467">
            <v>18</v>
          </cell>
          <cell r="M467" t="str">
            <v>NO</v>
          </cell>
          <cell r="N467">
            <v>4</v>
          </cell>
          <cell r="O467">
            <v>3</v>
          </cell>
          <cell r="P467">
            <v>3</v>
          </cell>
          <cell r="Q467">
            <v>12</v>
          </cell>
          <cell r="R467">
            <v>9</v>
          </cell>
          <cell r="S467">
            <v>9</v>
          </cell>
          <cell r="T467">
            <v>567.56641331304616</v>
          </cell>
          <cell r="U467">
            <v>567.56641331304616</v>
          </cell>
          <cell r="V467">
            <v>567.56641331304616</v>
          </cell>
          <cell r="W467">
            <v>6810.7969597565534</v>
          </cell>
          <cell r="X467">
            <v>5108.0977198174151</v>
          </cell>
          <cell r="Y467">
            <v>11918.894679573968</v>
          </cell>
          <cell r="Z467">
            <v>5108.0977198174151</v>
          </cell>
          <cell r="AA467">
            <v>567.56641331304616</v>
          </cell>
          <cell r="AB467">
            <v>19.160296713371157</v>
          </cell>
          <cell r="AC467">
            <v>18</v>
          </cell>
          <cell r="AD467">
            <v>57.838328561102735</v>
          </cell>
          <cell r="AE467">
            <v>93.054120005140021</v>
          </cell>
          <cell r="AF467">
            <v>29.746667364415416</v>
          </cell>
          <cell r="AG467">
            <v>42.041956541707123</v>
          </cell>
          <cell r="AH467" t="str">
            <v>Electricidad</v>
          </cell>
          <cell r="AI467">
            <v>567.56641331304616</v>
          </cell>
          <cell r="AJ467">
            <v>18</v>
          </cell>
          <cell r="AK467">
            <v>31.531467406280342</v>
          </cell>
        </row>
        <row r="468">
          <cell r="A468" t="str">
            <v>C091</v>
          </cell>
          <cell r="B468" t="str">
            <v>COND</v>
          </cell>
          <cell r="C468" t="str">
            <v>WWOLEII09080703600</v>
          </cell>
          <cell r="D468" t="str">
            <v>VENTANILLA, SANTA ROSA Y MALACAS</v>
          </cell>
          <cell r="E468" t="str">
            <v>CONEXIÓN CABLE DE SEÑAL &gt;6 A &lt;=16PUNTAS</v>
          </cell>
          <cell r="F468" t="str">
            <v>CONEXIÓN CABLE DE SEÑAL DE &gt;6 A &lt;=16 PUNTAS, EL CUAL INCLUYE: PREPARACIÓN DEL CABLE, INSTALACIÓN DE TERMINALES, INSTALACIÓN DE MARQUILLAS, MARCAS, FERULADOS O IDENTIFICACIÓN, CONEXIÓN SEGÚN ESQUEMA, ORGANIZACIÓN DEL CABLE EN EL TABLERO (INCLUIDO LOS ACCESORIOS PARA TAL FIN), MARCAS DEL POLICABLES ETC. SE DEBE INCLUIR PEQUEÑOS MATERIALES TALES COMO: ABRAZADERAS PLASTICAS, MARCAS TERMO RETRACTIL, PUNTERAS O TERMINALES ETC. NOTA: SOLO APLICA UN LADO DEL CABLE.</v>
          </cell>
          <cell r="G468" t="str">
            <v>LEII0900</v>
          </cell>
          <cell r="H468" t="str">
            <v>NUM</v>
          </cell>
          <cell r="I468">
            <v>1</v>
          </cell>
          <cell r="J468">
            <v>1.5</v>
          </cell>
          <cell r="K468">
            <v>2</v>
          </cell>
          <cell r="L468">
            <v>3</v>
          </cell>
          <cell r="M468" t="str">
            <v>NO</v>
          </cell>
          <cell r="N468">
            <v>4</v>
          </cell>
          <cell r="O468">
            <v>3</v>
          </cell>
          <cell r="P468">
            <v>3</v>
          </cell>
          <cell r="Q468">
            <v>12</v>
          </cell>
          <cell r="R468">
            <v>9</v>
          </cell>
          <cell r="S468">
            <v>9</v>
          </cell>
          <cell r="T468">
            <v>144.33650573895716</v>
          </cell>
          <cell r="U468">
            <v>144.33650573895716</v>
          </cell>
          <cell r="V468">
            <v>144.33650573895716</v>
          </cell>
          <cell r="W468">
            <v>1732.0380688674859</v>
          </cell>
          <cell r="X468">
            <v>1299.0285516506144</v>
          </cell>
          <cell r="Y468">
            <v>3031.0666205181005</v>
          </cell>
          <cell r="Z468">
            <v>1299.0285516506144</v>
          </cell>
          <cell r="AA468">
            <v>144.33650573895716</v>
          </cell>
          <cell r="AB468">
            <v>23.057832511738386</v>
          </cell>
          <cell r="AC468">
            <v>3</v>
          </cell>
          <cell r="AD468">
            <v>21.81277571323319</v>
          </cell>
          <cell r="AE468">
            <v>35.093833092359773</v>
          </cell>
          <cell r="AF468">
            <v>7.5648063804484877</v>
          </cell>
          <cell r="AG468">
            <v>10.69159301770053</v>
          </cell>
          <cell r="AH468" t="str">
            <v>Electricidad</v>
          </cell>
          <cell r="AI468">
            <v>144.33650573895716</v>
          </cell>
          <cell r="AJ468">
            <v>3</v>
          </cell>
          <cell r="AK468">
            <v>48.112168579652383</v>
          </cell>
        </row>
        <row r="469">
          <cell r="A469" t="str">
            <v>C090</v>
          </cell>
          <cell r="B469" t="str">
            <v>COND</v>
          </cell>
          <cell r="C469" t="str">
            <v>WWOLEII09080703700</v>
          </cell>
          <cell r="D469" t="str">
            <v>VENTANILLA, SANTA ROSA Y MALACAS</v>
          </cell>
          <cell r="E469" t="str">
            <v>CONEXIÓN CABLE DE SEÑAL &gt;16 A &lt;=24PUNTAS</v>
          </cell>
          <cell r="F469" t="str">
            <v>CONEXIÓN CABLE DE SEÑAL DE &gt;16 A &lt;=24 PUNTAS, EL CUAL INCLUYE: PREPARACIÓN DEL CABLE, INSTALACIÓN DE TERMINALES, INSTALACIÓN DE MARQUILLAS, MARCAS, FERULADOS O IDENTIFICACIÓN, CONEXIÓN SEGÚN ESQUEMA, ORGANIZACIÓN DEL CABLE EN EL TABLERO (INCLUIDO LOS ACCESORIOS PARA TAL FIN), MARCAS DEL POLICABLES ETC. SE DEBE INCLUIR PEQUEÑOS MATERIALES TALES COMO: ABRAZADERAS PLASTICAS, MARCAS TERMO RETRACTIL, PUNTERAS O TERMINALES ETC. NOTA: SOLO APLICA UN LADO DEL CABLE.</v>
          </cell>
          <cell r="G469" t="str">
            <v>LEII0900</v>
          </cell>
          <cell r="H469" t="str">
            <v>NUM</v>
          </cell>
          <cell r="I469">
            <v>1</v>
          </cell>
          <cell r="J469">
            <v>2</v>
          </cell>
          <cell r="K469">
            <v>2</v>
          </cell>
          <cell r="L469">
            <v>4</v>
          </cell>
          <cell r="M469" t="str">
            <v>NO</v>
          </cell>
          <cell r="N469">
            <v>4</v>
          </cell>
          <cell r="O469">
            <v>3</v>
          </cell>
          <cell r="P469">
            <v>3</v>
          </cell>
          <cell r="Q469">
            <v>12</v>
          </cell>
          <cell r="R469">
            <v>9</v>
          </cell>
          <cell r="S469">
            <v>9</v>
          </cell>
          <cell r="T469">
            <v>192.44867431860959</v>
          </cell>
          <cell r="U469">
            <v>192.44867431860959</v>
          </cell>
          <cell r="V469">
            <v>192.44867431860959</v>
          </cell>
          <cell r="W469">
            <v>2309.384091823315</v>
          </cell>
          <cell r="X469">
            <v>1732.0380688674863</v>
          </cell>
          <cell r="Y469">
            <v>4041.4221606908013</v>
          </cell>
          <cell r="Z469">
            <v>1732.0380688674863</v>
          </cell>
          <cell r="AA469">
            <v>192.44867431860959</v>
          </cell>
          <cell r="AB469">
            <v>23.057832511738386</v>
          </cell>
          <cell r="AC469">
            <v>4</v>
          </cell>
          <cell r="AD469">
            <v>29.083700950977605</v>
          </cell>
          <cell r="AE469">
            <v>46.791777456479736</v>
          </cell>
          <cell r="AF469">
            <v>10.086408507264654</v>
          </cell>
          <cell r="AG469">
            <v>14.255457356934045</v>
          </cell>
          <cell r="AH469" t="str">
            <v>Electricidad</v>
          </cell>
          <cell r="AI469">
            <v>192.44867431860959</v>
          </cell>
          <cell r="AJ469">
            <v>4</v>
          </cell>
          <cell r="AK469">
            <v>48.112168579652398</v>
          </cell>
        </row>
        <row r="470">
          <cell r="A470" t="str">
            <v>C088</v>
          </cell>
          <cell r="B470" t="str">
            <v>COND</v>
          </cell>
          <cell r="C470" t="str">
            <v>WWOLEII09080704200</v>
          </cell>
          <cell r="D470" t="str">
            <v>VENTANILLA, SANTA ROSA Y MALACAS</v>
          </cell>
          <cell r="E470" t="str">
            <v>CONEXIÓN CABLE DE POTENCIA &gt;70 A 300MM2</v>
          </cell>
          <cell r="F470" t="str">
            <v>CONEXIÓN CABLE DE POTENCIA UNIPOLAR O MULTIPOLAR INFERIOR A 70 A 300 MM2 . INCLUYE: PREPARACIÓN CABLE, INSTALACIÓN TERMINALES, INSTALACIÓN MARQUILLAS O MARCAS (EN EL POLICABLE Y A CADA PUNTA), CONEXIÓN SEGÚN ESQUEMA, ORGANIZACIÓN DEL CABLE EN EL TABLERO (INCLUIDO LOS ACCESORIOS PARA TAL FIN). SE DEBE INCLUIR PEQUEÑOS MATERIALES TALES COMO: ABRAZADERAS PLASTICAS, MARCAS TERMO RETRACTIL, PUNTERAS O TERMINALES (COBRE ESTAÑADO) ETC. NOTA: SOLO APLICA UN LADO DEL CABLE Y CONEX HASTA 5 PUNTAS.</v>
          </cell>
          <cell r="G470" t="str">
            <v>LEII0900</v>
          </cell>
          <cell r="H470" t="str">
            <v>NUM</v>
          </cell>
          <cell r="I470">
            <v>1</v>
          </cell>
          <cell r="J470">
            <v>4</v>
          </cell>
          <cell r="K470">
            <v>2</v>
          </cell>
          <cell r="L470">
            <v>8</v>
          </cell>
          <cell r="M470" t="str">
            <v>NO</v>
          </cell>
          <cell r="N470">
            <v>4</v>
          </cell>
          <cell r="O470">
            <v>3</v>
          </cell>
          <cell r="P470">
            <v>3</v>
          </cell>
          <cell r="Q470">
            <v>12</v>
          </cell>
          <cell r="R470">
            <v>9</v>
          </cell>
          <cell r="S470">
            <v>9</v>
          </cell>
          <cell r="T470">
            <v>384.89734863721907</v>
          </cell>
          <cell r="U470">
            <v>384.89734863721907</v>
          </cell>
          <cell r="V470">
            <v>384.89734863721907</v>
          </cell>
          <cell r="W470">
            <v>4618.768183646629</v>
          </cell>
          <cell r="X470">
            <v>3464.0761377349718</v>
          </cell>
          <cell r="Y470">
            <v>8082.8443213816008</v>
          </cell>
          <cell r="Z470">
            <v>3464.0761377349718</v>
          </cell>
          <cell r="AA470">
            <v>384.89734863721907</v>
          </cell>
          <cell r="AB470">
            <v>23.057832511738386</v>
          </cell>
          <cell r="AC470">
            <v>8</v>
          </cell>
          <cell r="AD470">
            <v>58.167401901955188</v>
          </cell>
          <cell r="AE470">
            <v>93.583554912959428</v>
          </cell>
          <cell r="AF470">
            <v>20.172817014529301</v>
          </cell>
          <cell r="AG470">
            <v>28.510914713868079</v>
          </cell>
          <cell r="AH470" t="str">
            <v>Electricidad</v>
          </cell>
          <cell r="AI470">
            <v>384.89734863721907</v>
          </cell>
          <cell r="AJ470">
            <v>8</v>
          </cell>
          <cell r="AK470">
            <v>48.112168579652383</v>
          </cell>
        </row>
        <row r="471">
          <cell r="A471" t="str">
            <v>C087</v>
          </cell>
          <cell r="B471" t="str">
            <v>COND</v>
          </cell>
          <cell r="C471" t="str">
            <v>WWOLEII09080704100</v>
          </cell>
          <cell r="D471" t="str">
            <v>VENTANILLA, SANTA ROSA Y MALACAS</v>
          </cell>
          <cell r="E471" t="str">
            <v xml:space="preserve">CONEXIÓN CABLE DE POTENCIA &gt;25 =&lt;70MM2 </v>
          </cell>
          <cell r="F471" t="str">
            <v>CONEXIÓN CABLE DE POTENCIA UNIPOLAR O MULTIPOLAR INFERIOR A 25 A 70MM2 . INCLUYE: PREPARACIÓN CABLE, INSTALACIÓN TERMINALES, INSTALACIÓN MARQUILLAS O MARCAS (EN EL POLICABLE Y A CADA PUNTA), CONEXIÓN SEGÚN ESQUEMA, ORGANIZACIÓN DEL CABLE EN EL TABLERO (INCLUIDO LOS ACCESORIOS PARA TAL FIN). SE DEBE INCLUIR PEQUEÑOS MATERIALES TALES COMO: ABRAZADERAS PLASTICAS, MARCAS TERMO RETRACTIL, PUNTERAS O TERMINALES (COBRE ESTAÑADO) ETC. NOTA: SOLO APLICA UN LADO DEL CABLE Y CONEX HASTA 5 PUNTAS.</v>
          </cell>
          <cell r="G471" t="str">
            <v>LEII0900</v>
          </cell>
          <cell r="H471" t="str">
            <v>NUM</v>
          </cell>
          <cell r="I471">
            <v>1</v>
          </cell>
          <cell r="J471">
            <v>2</v>
          </cell>
          <cell r="K471">
            <v>2</v>
          </cell>
          <cell r="L471">
            <v>4</v>
          </cell>
          <cell r="M471" t="str">
            <v>NO</v>
          </cell>
          <cell r="N471">
            <v>4</v>
          </cell>
          <cell r="O471">
            <v>3</v>
          </cell>
          <cell r="P471">
            <v>3</v>
          </cell>
          <cell r="Q471">
            <v>12</v>
          </cell>
          <cell r="R471">
            <v>9</v>
          </cell>
          <cell r="S471">
            <v>9</v>
          </cell>
          <cell r="T471">
            <v>192.44867431860959</v>
          </cell>
          <cell r="U471">
            <v>192.44867431860959</v>
          </cell>
          <cell r="V471">
            <v>192.44867431860959</v>
          </cell>
          <cell r="W471">
            <v>2309.384091823315</v>
          </cell>
          <cell r="X471">
            <v>1732.0380688674863</v>
          </cell>
          <cell r="Y471">
            <v>4041.4221606908013</v>
          </cell>
          <cell r="Z471">
            <v>1732.0380688674863</v>
          </cell>
          <cell r="AA471">
            <v>192.44867431860959</v>
          </cell>
          <cell r="AB471">
            <v>23.057832511738386</v>
          </cell>
          <cell r="AC471">
            <v>4</v>
          </cell>
          <cell r="AD471">
            <v>29.083700950977605</v>
          </cell>
          <cell r="AE471">
            <v>46.791777456479736</v>
          </cell>
          <cell r="AF471">
            <v>10.086408507264654</v>
          </cell>
          <cell r="AG471">
            <v>14.255457356934045</v>
          </cell>
          <cell r="AH471" t="str">
            <v>Electricidad</v>
          </cell>
          <cell r="AI471">
            <v>192.44867431860959</v>
          </cell>
          <cell r="AJ471">
            <v>4</v>
          </cell>
          <cell r="AK471">
            <v>48.112168579652398</v>
          </cell>
        </row>
        <row r="472">
          <cell r="A472" t="str">
            <v>C093</v>
          </cell>
          <cell r="B472" t="str">
            <v>COND</v>
          </cell>
          <cell r="C472" t="str">
            <v>WWOLEII09080703900</v>
          </cell>
          <cell r="D472" t="str">
            <v>VENTANILLA, SANTA ROSA Y MALACAS</v>
          </cell>
          <cell r="E472" t="str">
            <v>CONEXIÓN DE CABLE DE POTENCIA &lt;=10 MM2</v>
          </cell>
          <cell r="F472" t="str">
            <v>CONEXIÓN CABLE DE POTENCIA UNIPOLAR O MULTIPOLAR INFERIOR A 10 MM2 (8 AWG). INCLUYE: PREPARACIÓN CABLE, INSTALACIÓN TERMINALES, INSTALACIÓN MARQUILLAS O MARCAS (EN EL POLICABLE Y A CADA PUNTA), CONEXIÓN SEGÚN ESQUEMA, ORGANIZACIÓN DEL CABLE EN EL TABLERO (INCLUIDO LOS ACCESORIOS PARA TAL FIN). SE DEBE INCLUIR PEQUEÑOS MATERIALES TALES COMO: ABRAZADERAS PLASTICAS, MARCAS TERMO RETRACTIL, PUNTERAS O TERMINALES (COBRE ESTAÑADO) ETC. NOTA: SOLO APLICA UN LADO DEL CABLE Y CONEX HASTA 5 PUNTAS.</v>
          </cell>
          <cell r="G472" t="str">
            <v>LEII0900</v>
          </cell>
          <cell r="H472" t="str">
            <v>NUM</v>
          </cell>
          <cell r="I472">
            <v>1</v>
          </cell>
          <cell r="J472">
            <v>1.5</v>
          </cell>
          <cell r="K472">
            <v>2</v>
          </cell>
          <cell r="L472">
            <v>3</v>
          </cell>
          <cell r="M472" t="str">
            <v>NO</v>
          </cell>
          <cell r="N472">
            <v>4</v>
          </cell>
          <cell r="O472">
            <v>3</v>
          </cell>
          <cell r="P472">
            <v>3</v>
          </cell>
          <cell r="Q472">
            <v>12</v>
          </cell>
          <cell r="R472">
            <v>9</v>
          </cell>
          <cell r="S472">
            <v>9</v>
          </cell>
          <cell r="T472">
            <v>144.33650573895699</v>
          </cell>
          <cell r="U472">
            <v>144.33650573895699</v>
          </cell>
          <cell r="V472">
            <v>144.33650573895699</v>
          </cell>
          <cell r="W472">
            <v>1732.0380688674838</v>
          </cell>
          <cell r="X472">
            <v>1299.0285516506128</v>
          </cell>
          <cell r="Y472">
            <v>3031.0666205180969</v>
          </cell>
          <cell r="Z472">
            <v>1299.0285516506128</v>
          </cell>
          <cell r="AA472">
            <v>144.33650573895699</v>
          </cell>
          <cell r="AB472">
            <v>23.057832511738386</v>
          </cell>
          <cell r="AC472">
            <v>3</v>
          </cell>
          <cell r="AD472">
            <v>21.812775713233137</v>
          </cell>
          <cell r="AE472">
            <v>35.093833092359695</v>
          </cell>
          <cell r="AF472">
            <v>7.5648063804484789</v>
          </cell>
          <cell r="AG472">
            <v>10.691593017700518</v>
          </cell>
          <cell r="AH472" t="str">
            <v>Electricidad</v>
          </cell>
          <cell r="AI472">
            <v>144.33650573895699</v>
          </cell>
          <cell r="AJ472">
            <v>3</v>
          </cell>
          <cell r="AK472">
            <v>48.112168579652327</v>
          </cell>
        </row>
        <row r="473">
          <cell r="A473" t="str">
            <v>C086</v>
          </cell>
          <cell r="B473" t="str">
            <v>COND</v>
          </cell>
          <cell r="C473" t="str">
            <v>WWOLEII09080704000</v>
          </cell>
          <cell r="D473" t="str">
            <v>VENTANILLA, SANTA ROSA Y MALACAS</v>
          </cell>
          <cell r="E473" t="str">
            <v>CONEXIÓN CABLE DE POTENCIA &gt;10 &lt;=25MM2</v>
          </cell>
          <cell r="F473" t="str">
            <v>CONEXIÓN CABLE DE POTENCIA UNIPOLAR O MULTIPOLAR INFERIOR 10 MM2 A 25MM2 . INCLUYE: PREPARACIÓN CABLE, INSTALACIÓN TERMINALES, INSTALACIÓN MARQUILLAS O MARCAS (EN EL POLICABLE Y A CADA PUNTA), CONEXIÓN SEGÚN ESQUEMA, ORGANIZACIÓN DEL CABLE EN EL TABLERO (INCLUIDO LOS ACCESORIOS PARA TAL FIN). SE DEBE INCLUIR PEQUEÑOS MATERIALES TALES COMO: ABRAZADERAS PLASTICAS, MARCAS TERMO RETRACTIL, PUNTERAS O TERMINALES (COBRE ESTAÑADO) ETC. NOTA: SOLO APLICA UN LADO DEL CABLE Y CONEX HASTA 5 PUNTAS.</v>
          </cell>
          <cell r="G473" t="str">
            <v>LEII0900</v>
          </cell>
          <cell r="H473" t="str">
            <v>NUM</v>
          </cell>
          <cell r="I473">
            <v>1</v>
          </cell>
          <cell r="J473">
            <v>2</v>
          </cell>
          <cell r="K473">
            <v>2</v>
          </cell>
          <cell r="L473">
            <v>4</v>
          </cell>
          <cell r="M473" t="str">
            <v>NO</v>
          </cell>
          <cell r="N473">
            <v>4</v>
          </cell>
          <cell r="O473">
            <v>3</v>
          </cell>
          <cell r="P473">
            <v>3</v>
          </cell>
          <cell r="Q473">
            <v>12</v>
          </cell>
          <cell r="R473">
            <v>9</v>
          </cell>
          <cell r="S473">
            <v>9</v>
          </cell>
          <cell r="T473">
            <v>192.44867431860959</v>
          </cell>
          <cell r="U473">
            <v>192.44867431860959</v>
          </cell>
          <cell r="V473">
            <v>192.44867431860959</v>
          </cell>
          <cell r="W473">
            <v>2309.384091823315</v>
          </cell>
          <cell r="X473">
            <v>1732.0380688674863</v>
          </cell>
          <cell r="Y473">
            <v>4041.4221606908013</v>
          </cell>
          <cell r="Z473">
            <v>1732.0380688674863</v>
          </cell>
          <cell r="AA473">
            <v>192.44867431860959</v>
          </cell>
          <cell r="AB473">
            <v>23.057832511738386</v>
          </cell>
          <cell r="AC473">
            <v>4</v>
          </cell>
          <cell r="AD473">
            <v>29.083700950977605</v>
          </cell>
          <cell r="AE473">
            <v>46.791777456479736</v>
          </cell>
          <cell r="AF473">
            <v>10.086408507264654</v>
          </cell>
          <cell r="AG473">
            <v>14.255457356934045</v>
          </cell>
          <cell r="AH473" t="str">
            <v>Electricidad</v>
          </cell>
          <cell r="AI473">
            <v>192.44867431860959</v>
          </cell>
          <cell r="AJ473">
            <v>4</v>
          </cell>
          <cell r="AK473">
            <v>48.112168579652398</v>
          </cell>
        </row>
        <row r="474">
          <cell r="A474" t="str">
            <v>P051</v>
          </cell>
          <cell r="B474" t="str">
            <v>PREV</v>
          </cell>
          <cell r="C474" t="str">
            <v>WWOLEII09081700300</v>
          </cell>
          <cell r="D474" t="str">
            <v>SANTA ROSA Y MALACAS</v>
          </cell>
          <cell r="E474" t="str">
            <v>PRUEBA SENSOR OPTICO SCI</v>
          </cell>
          <cell r="F474" t="str">
            <v>COMPROBACIÓN FUNCIÓNAMIENTO SENSOR DEL SCI, LIMPIEZA ELEMENTO OPTICO, LIMPIEZA EXTERIOR, PRUEBA DE FUNCIÓNALIDAD. REENSEMBLAJE.</v>
          </cell>
          <cell r="G474" t="str">
            <v>LEII0908</v>
          </cell>
          <cell r="H474" t="str">
            <v>NUM</v>
          </cell>
          <cell r="I474">
            <v>1</v>
          </cell>
          <cell r="J474">
            <v>1</v>
          </cell>
          <cell r="K474">
            <v>3</v>
          </cell>
          <cell r="L474">
            <v>3</v>
          </cell>
          <cell r="M474" t="str">
            <v>NO</v>
          </cell>
          <cell r="N474">
            <v>0</v>
          </cell>
          <cell r="O474">
            <v>3</v>
          </cell>
          <cell r="P474">
            <v>4</v>
          </cell>
          <cell r="Q474">
            <v>0</v>
          </cell>
          <cell r="R474">
            <v>9</v>
          </cell>
          <cell r="S474">
            <v>12</v>
          </cell>
          <cell r="T474"/>
          <cell r="U474">
            <v>140.55526139340174</v>
          </cell>
          <cell r="V474">
            <v>140.55526139340174</v>
          </cell>
          <cell r="W474">
            <v>0</v>
          </cell>
          <cell r="X474">
            <v>1264.9973525406156</v>
          </cell>
          <cell r="Y474">
            <v>1264.9973525406156</v>
          </cell>
          <cell r="Z474">
            <v>1686.6631367208208</v>
          </cell>
          <cell r="AA474">
            <v>140.55526139340174</v>
          </cell>
          <cell r="AB474">
            <v>22.888226288984878</v>
          </cell>
          <cell r="AC474">
            <v>3</v>
          </cell>
          <cell r="AD474">
            <v>20.741752868618509</v>
          </cell>
          <cell r="AE474">
            <v>33.370700858243907</v>
          </cell>
          <cell r="AF474">
            <v>7.3666279556290224</v>
          </cell>
          <cell r="AG474">
            <v>10.411500843955684</v>
          </cell>
          <cell r="AH474" t="str">
            <v>Instrumentación</v>
          </cell>
          <cell r="AI474">
            <v>140.55526139340174</v>
          </cell>
          <cell r="AJ474">
            <v>3</v>
          </cell>
          <cell r="AK474">
            <v>46.851753797800576</v>
          </cell>
        </row>
        <row r="475">
          <cell r="A475" t="str">
            <v>C160</v>
          </cell>
          <cell r="B475" t="str">
            <v>COND</v>
          </cell>
          <cell r="C475" t="str">
            <v>WWOLEII09081700300</v>
          </cell>
          <cell r="D475" t="str">
            <v>VENTANILLA, SANTA ROSA Y MALACAS</v>
          </cell>
          <cell r="E475" t="str">
            <v>PRUEBA SENSOR OPTICO SCI</v>
          </cell>
          <cell r="F475" t="str">
            <v>COMPROBACIÓN FUNCIÓNAMIENTO SENSOR DEL SCI, LIMPIEZA ELEMENTO OPTICO, LIMPIEZA EXTERIOR, PRUEBA DE FUNCIÓNALIDAD. REENSEMBLAJE.</v>
          </cell>
          <cell r="G475" t="str">
            <v>LEII0900</v>
          </cell>
          <cell r="H475" t="str">
            <v>NUM</v>
          </cell>
          <cell r="I475">
            <v>1</v>
          </cell>
          <cell r="J475">
            <v>1</v>
          </cell>
          <cell r="K475">
            <v>3</v>
          </cell>
          <cell r="L475">
            <v>3</v>
          </cell>
          <cell r="M475" t="str">
            <v>NO</v>
          </cell>
          <cell r="N475">
            <v>1</v>
          </cell>
          <cell r="O475">
            <v>1</v>
          </cell>
          <cell r="P475">
            <v>1</v>
          </cell>
          <cell r="Q475">
            <v>3</v>
          </cell>
          <cell r="R475">
            <v>3</v>
          </cell>
          <cell r="S475">
            <v>3</v>
          </cell>
          <cell r="T475">
            <v>140.55526139340174</v>
          </cell>
          <cell r="U475">
            <v>140.55526139340174</v>
          </cell>
          <cell r="V475">
            <v>140.55526139340174</v>
          </cell>
          <cell r="W475">
            <v>421.66578418020521</v>
          </cell>
          <cell r="X475">
            <v>421.66578418020521</v>
          </cell>
          <cell r="Y475">
            <v>843.33156836041042</v>
          </cell>
          <cell r="Z475">
            <v>421.66578418020521</v>
          </cell>
          <cell r="AA475">
            <v>140.55526139340174</v>
          </cell>
          <cell r="AB475">
            <v>22.888226288984878</v>
          </cell>
          <cell r="AC475">
            <v>3</v>
          </cell>
          <cell r="AD475">
            <v>20.741752868618512</v>
          </cell>
          <cell r="AE475">
            <v>33.370700858243907</v>
          </cell>
          <cell r="AF475">
            <v>7.3666279556290224</v>
          </cell>
          <cell r="AG475">
            <v>10.411500843955684</v>
          </cell>
          <cell r="AH475" t="str">
            <v>Instrumentación</v>
          </cell>
          <cell r="AI475">
            <v>140.55526139340174</v>
          </cell>
          <cell r="AJ475">
            <v>3</v>
          </cell>
          <cell r="AK475">
            <v>46.851753797800576</v>
          </cell>
        </row>
        <row r="476">
          <cell r="A476" t="str">
            <v>C033</v>
          </cell>
          <cell r="B476" t="str">
            <v>COND</v>
          </cell>
          <cell r="C476" t="str">
            <v>WWOLEII09080301300</v>
          </cell>
          <cell r="D476" t="str">
            <v>VENTANILLA, SANTA ROSA Y MALACAS</v>
          </cell>
          <cell r="E476" t="str">
            <v>COMPROB FUNCIÓN DETECTORES DE LLAMA</v>
          </cell>
          <cell r="F476" t="str">
            <v>COMPROBACIÓN FUNCIÓNAL DEL DETECTOR DE LLAMA EN CALDERA. INCLUYE ACTIVIDAD DE DESMONTAJE, Y REMONTAJE DEL DETECTOR Y EJECUCIÓN PRUEBAS FUNCIÓNALES. EN CASO DE FUNCIÓNAMIENTO DEFECTUOSO, LA EMPRESA DEBER´INSTALAR UN NUEVO DETECTOR SUMINISTRADO POR ENEL. DESPUES DE REMONTAJE, ESTAN INCLUIDAS TODAS LAS ACTIVIDADES DE PARAMETRIZACIÓN DEL DETECTOR, SI NECESARIO, LA ASISTENCIA A LA PUESTA EN MARCHA Y LOS AJUSTES NECESARIOS.</v>
          </cell>
          <cell r="G476" t="str">
            <v>LEII0900</v>
          </cell>
          <cell r="H476" t="str">
            <v>NUM</v>
          </cell>
          <cell r="I476">
            <v>1</v>
          </cell>
          <cell r="J476">
            <v>2</v>
          </cell>
          <cell r="K476">
            <v>2</v>
          </cell>
          <cell r="L476">
            <v>4</v>
          </cell>
          <cell r="M476" t="str">
            <v>NO</v>
          </cell>
          <cell r="N476">
            <v>4</v>
          </cell>
          <cell r="O476">
            <v>3</v>
          </cell>
          <cell r="P476">
            <v>3</v>
          </cell>
          <cell r="Q476">
            <v>12</v>
          </cell>
          <cell r="R476">
            <v>9</v>
          </cell>
          <cell r="S476">
            <v>9</v>
          </cell>
          <cell r="T476">
            <v>189.38653926175917</v>
          </cell>
          <cell r="U476">
            <v>189.38653926175917</v>
          </cell>
          <cell r="V476">
            <v>189.38653926175917</v>
          </cell>
          <cell r="W476">
            <v>2272.6384711411101</v>
          </cell>
          <cell r="X476">
            <v>1704.4788533558326</v>
          </cell>
          <cell r="Y476">
            <v>3977.1173244969427</v>
          </cell>
          <cell r="Z476">
            <v>1704.4788533558326</v>
          </cell>
          <cell r="AA476">
            <v>189.38653926175917</v>
          </cell>
          <cell r="AB476">
            <v>23.466564118731693</v>
          </cell>
          <cell r="AC476">
            <v>4</v>
          </cell>
          <cell r="AD476">
            <v>27.431738981289925</v>
          </cell>
          <cell r="AE476">
            <v>44.133992019114494</v>
          </cell>
          <cell r="AF476">
            <v>9.9259192485198717</v>
          </cell>
          <cell r="AG476">
            <v>14.028632537908086</v>
          </cell>
          <cell r="AH476" t="str">
            <v>Instrumentación</v>
          </cell>
          <cell r="AI476">
            <v>189.38653926175917</v>
          </cell>
          <cell r="AJ476">
            <v>4</v>
          </cell>
          <cell r="AK476">
            <v>47.346634815439792</v>
          </cell>
        </row>
        <row r="477">
          <cell r="A477" t="str">
            <v>C034</v>
          </cell>
          <cell r="B477" t="str">
            <v>COND</v>
          </cell>
          <cell r="C477" t="str">
            <v>WWOLEII09080301400</v>
          </cell>
          <cell r="D477" t="str">
            <v>VENTANILLA, SANTA ROSA Y MALACAS</v>
          </cell>
          <cell r="E477" t="str">
            <v>COMPROB FUNCIÓN DETECTORES GAS METANO</v>
          </cell>
          <cell r="F477" t="str">
            <v xml:space="preserve">COMPROBACIÓN FUNCIÓNAL DE LOS DETECTORES DE GAS METANO TIPICAMENTE INSTALADOS EN LOS CABINADOS TG, CABINADOS VÁLVULAS, ESTACIÓN DE REGULACIÓN ETC. INCLUYE LA COMPROBACIÓN CON INSTRUMENTACIÓN EN CAMPO, POR MEDIO DE GAS DE CALIBRACIÓN. INCLUYE LA COMPROBACIÓN COMPLETA DE LA CADENA DE MEDICIÓN, ALARMA Y BLOQUEO. </v>
          </cell>
          <cell r="G477" t="str">
            <v>LEII0900</v>
          </cell>
          <cell r="H477" t="str">
            <v>NUM</v>
          </cell>
          <cell r="I477">
            <v>1</v>
          </cell>
          <cell r="J477">
            <v>2</v>
          </cell>
          <cell r="K477">
            <v>2</v>
          </cell>
          <cell r="L477">
            <v>4</v>
          </cell>
          <cell r="M477" t="str">
            <v>NO</v>
          </cell>
          <cell r="N477">
            <v>4</v>
          </cell>
          <cell r="O477">
            <v>3</v>
          </cell>
          <cell r="P477">
            <v>3</v>
          </cell>
          <cell r="Q477">
            <v>12</v>
          </cell>
          <cell r="R477">
            <v>9</v>
          </cell>
          <cell r="S477">
            <v>9</v>
          </cell>
          <cell r="T477">
            <v>189.38653926175917</v>
          </cell>
          <cell r="U477">
            <v>189.38653926175917</v>
          </cell>
          <cell r="V477">
            <v>189.38653926175917</v>
          </cell>
          <cell r="W477">
            <v>2272.6384711411101</v>
          </cell>
          <cell r="X477">
            <v>1704.4788533558326</v>
          </cell>
          <cell r="Y477">
            <v>3977.1173244969427</v>
          </cell>
          <cell r="Z477">
            <v>1704.4788533558326</v>
          </cell>
          <cell r="AA477">
            <v>189.38653926175917</v>
          </cell>
          <cell r="AB477">
            <v>23.466564118731693</v>
          </cell>
          <cell r="AC477">
            <v>4</v>
          </cell>
          <cell r="AD477">
            <v>27.431738981289921</v>
          </cell>
          <cell r="AE477">
            <v>44.133992019114487</v>
          </cell>
          <cell r="AF477">
            <v>9.9259192485198717</v>
          </cell>
          <cell r="AG477">
            <v>14.028632537908086</v>
          </cell>
          <cell r="AH477" t="str">
            <v>Instrumentación</v>
          </cell>
          <cell r="AI477">
            <v>189.38653926175917</v>
          </cell>
          <cell r="AJ477">
            <v>4</v>
          </cell>
          <cell r="AK477">
            <v>47.346634815439792</v>
          </cell>
        </row>
        <row r="478">
          <cell r="A478" t="str">
            <v>C164</v>
          </cell>
          <cell r="B478" t="str">
            <v>COND</v>
          </cell>
          <cell r="C478" t="str">
            <v>WWOLEII09XXXX00100</v>
          </cell>
          <cell r="D478" t="str">
            <v>VENTANILLA, SANTA ROSA Y MALACAS</v>
          </cell>
          <cell r="E478" t="str">
            <v>DERECHO DE LLAMADA EN EMERGENCIA ELEC.</v>
          </cell>
          <cell r="F478" t="str">
            <v>COMPENSACIÓN PARA LAS ACTIVIDADES EN URGENCIA Y\O NO PROGRAMADAS FUERA DE LA JORNADA LABORAL (DISCIPLINA ELECTRICA).INCREMENTO QUE SE APLICA POR CADA EQUIPO UTILIZADO POR CADA INTERVENCIÓN. SI EN EL DIA ESTAN PREVISTOS MAS DE UN INTERVENTO URGENTE, SE APLICA UNA SOLA VEZ POR EQUIPO (4 TRABAJADORES CON INCLUIDO EL SUPERVISOR). LA COMPENSACIÓN NO INCLUYE LAS ACTIVIDADES DESAROLLADAS QUE SE PAGARAN CON PRECIOS DEDICADO Y PREVISTO EN LA ESPECIFICA TECNICA.</v>
          </cell>
          <cell r="G478" t="str">
            <v>LEII0900</v>
          </cell>
          <cell r="H478" t="str">
            <v>NUM</v>
          </cell>
          <cell r="I478">
            <v>1</v>
          </cell>
          <cell r="J478">
            <v>2</v>
          </cell>
          <cell r="K478">
            <v>4</v>
          </cell>
          <cell r="L478">
            <v>8</v>
          </cell>
          <cell r="M478" t="str">
            <v>SI</v>
          </cell>
          <cell r="N478">
            <v>200</v>
          </cell>
          <cell r="O478">
            <v>150</v>
          </cell>
          <cell r="P478">
            <v>150</v>
          </cell>
          <cell r="Q478">
            <v>600</v>
          </cell>
          <cell r="R478">
            <v>450</v>
          </cell>
          <cell r="S478">
            <v>450</v>
          </cell>
          <cell r="T478">
            <v>333.94372293992876</v>
          </cell>
          <cell r="U478">
            <v>333.94372293992876</v>
          </cell>
          <cell r="V478">
            <v>333.94372293992876</v>
          </cell>
          <cell r="W478">
            <v>200366.23376395725</v>
          </cell>
          <cell r="X478">
            <v>150274.67532296793</v>
          </cell>
          <cell r="Y478">
            <v>350640.90908692521</v>
          </cell>
          <cell r="Z478">
            <v>150274.67532296793</v>
          </cell>
          <cell r="AA478">
            <v>333.94372293992876</v>
          </cell>
          <cell r="AB478">
            <v>18.357846183206494</v>
          </cell>
          <cell r="AC478">
            <v>8</v>
          </cell>
          <cell r="AD478">
            <v>55.51917582084581</v>
          </cell>
          <cell r="AE478">
            <v>89.322914025110165</v>
          </cell>
          <cell r="AF478">
            <v>17.502291558696477</v>
          </cell>
          <cell r="AG478">
            <v>24.736572069624355</v>
          </cell>
          <cell r="AH478" t="str">
            <v>Electricidad</v>
          </cell>
          <cell r="AI478">
            <v>333.94372293992876</v>
          </cell>
          <cell r="AJ478">
            <v>8</v>
          </cell>
          <cell r="AK478">
            <v>41.742965367491095</v>
          </cell>
        </row>
        <row r="479">
          <cell r="A479" t="str">
            <v>C322</v>
          </cell>
          <cell r="B479" t="str">
            <v>COND</v>
          </cell>
          <cell r="C479" t="str">
            <v>WWAMMIM01XXXX00100</v>
          </cell>
          <cell r="D479" t="str">
            <v>VENTANILLA, SANTA ROSA Y MALACAS</v>
          </cell>
          <cell r="E479" t="str">
            <v>DERECHO DE LLAMADA EN EMERGENCIA MEC.</v>
          </cell>
          <cell r="F479" t="str">
            <v>COMPENSACIÓN PARA LAS ACTIVIDADES EN URGENCIA Y\O NO PROGRAMADAS  FUERA DE LA JORNADA LABORAL (DISCIPLINA MECANICA).  INCREMENTO QUE SE APLICA POR CADA EQUIPO UTILIZADO POR CADA INTERVENCIÓN. SI EN EL DIA ESTAN PREVISTOS MAS DE UN INTERVENTO URGENTE, SE APLICA UNA SOLA VEZ POR EQUIPO (4 TRABAJADORES CON INCLUIDO EL SUPERVISOR). LA COMPENSACIÓN NO INCLUYE LAS ACTIVIDADES DESAROLLADAS QUE SE PAGARAN CON PRECIOS DEDICADO Y PREVISTO EN LA ESPECIFICA TECNICA.</v>
          </cell>
          <cell r="G479" t="str">
            <v>MMIM0100</v>
          </cell>
          <cell r="H479" t="str">
            <v>NUM</v>
          </cell>
          <cell r="I479">
            <v>1</v>
          </cell>
          <cell r="J479">
            <v>2</v>
          </cell>
          <cell r="K479">
            <v>4</v>
          </cell>
          <cell r="L479">
            <v>8</v>
          </cell>
          <cell r="M479" t="str">
            <v>SI</v>
          </cell>
          <cell r="N479">
            <v>200</v>
          </cell>
          <cell r="O479">
            <v>150</v>
          </cell>
          <cell r="P479">
            <v>150</v>
          </cell>
          <cell r="Q479">
            <v>600</v>
          </cell>
          <cell r="R479">
            <v>450</v>
          </cell>
          <cell r="S479">
            <v>450</v>
          </cell>
          <cell r="T479">
            <v>350.96108142828024</v>
          </cell>
          <cell r="U479">
            <v>350.96108142828024</v>
          </cell>
          <cell r="V479">
            <v>350.96108142828024</v>
          </cell>
          <cell r="W479">
            <v>210576.64885696815</v>
          </cell>
          <cell r="X479">
            <v>157932.48664272611</v>
          </cell>
          <cell r="Y479">
            <v>368509.13549969427</v>
          </cell>
          <cell r="Z479">
            <v>157932.48664272611</v>
          </cell>
          <cell r="AA479">
            <v>350.96108142828024</v>
          </cell>
          <cell r="AB479">
            <v>19.97398901669203</v>
          </cell>
          <cell r="AC479">
            <v>8</v>
          </cell>
          <cell r="AD479">
            <v>56.261174701704178</v>
          </cell>
          <cell r="AE479">
            <v>90.516690792537531</v>
          </cell>
          <cell r="AF479">
            <v>18.394186657666676</v>
          </cell>
          <cell r="AG479">
            <v>25.997117142835574</v>
          </cell>
          <cell r="AH479" t="str">
            <v>Mecánica</v>
          </cell>
          <cell r="AI479">
            <v>350.96108142828024</v>
          </cell>
          <cell r="AJ479">
            <v>8</v>
          </cell>
          <cell r="AK479">
            <v>43.87013517853503</v>
          </cell>
        </row>
        <row r="480">
          <cell r="A480" t="str">
            <v>P105</v>
          </cell>
          <cell r="B480" t="str">
            <v>PREV</v>
          </cell>
          <cell r="C480" t="str">
            <v>PEOLEII09MEREEMP11</v>
          </cell>
          <cell r="D480" t="str">
            <v>VENTANILLA</v>
          </cell>
          <cell r="E480" t="str">
            <v>CAMBIO DE MANTA PARA FILTRADO DE AIRE  GENERADOR</v>
          </cell>
          <cell r="F480" t="str">
            <v>CAMBIO DE MANTA PARA FILTRADO DE AIRE  GENERADOR</v>
          </cell>
          <cell r="G480" t="str">
            <v>LEII0900</v>
          </cell>
          <cell r="H480" t="str">
            <v>NUM</v>
          </cell>
          <cell r="I480">
            <v>1</v>
          </cell>
          <cell r="J480">
            <v>0.25</v>
          </cell>
          <cell r="K480">
            <v>2</v>
          </cell>
          <cell r="L480">
            <v>0.5</v>
          </cell>
          <cell r="M480" t="str">
            <v>NO</v>
          </cell>
          <cell r="N480">
            <v>120</v>
          </cell>
          <cell r="O480">
            <v>0</v>
          </cell>
          <cell r="P480">
            <v>0</v>
          </cell>
          <cell r="Q480">
            <v>360</v>
          </cell>
          <cell r="R480">
            <v>0</v>
          </cell>
          <cell r="S480">
            <v>0</v>
          </cell>
          <cell r="T480">
            <v>47.576517235638484</v>
          </cell>
          <cell r="U480"/>
          <cell r="V480">
            <v>0</v>
          </cell>
          <cell r="W480">
            <v>17127.546204829854</v>
          </cell>
          <cell r="X480">
            <v>0</v>
          </cell>
          <cell r="Y480">
            <v>17127.546204829854</v>
          </cell>
          <cell r="Z480">
            <v>0</v>
          </cell>
          <cell r="AA480">
            <v>47.576517235638484</v>
          </cell>
          <cell r="AB480">
            <v>23.057832511738386</v>
          </cell>
          <cell r="AC480">
            <v>1</v>
          </cell>
          <cell r="AD480">
            <v>7.0915754751118705</v>
          </cell>
          <cell r="AE480">
            <v>11.409394629884966</v>
          </cell>
          <cell r="AF480">
            <v>2.4935281570041132</v>
          </cell>
          <cell r="AG480">
            <v>3.5241864618991467</v>
          </cell>
          <cell r="AH480" t="str">
            <v>Electricidad</v>
          </cell>
          <cell r="AI480">
            <v>47.576517235638484</v>
          </cell>
          <cell r="AJ480">
            <v>0.5</v>
          </cell>
          <cell r="AK480">
            <v>95.153034471276968</v>
          </cell>
        </row>
        <row r="481">
          <cell r="A481" t="str">
            <v>P057</v>
          </cell>
          <cell r="B481" t="str">
            <v>PREV</v>
          </cell>
          <cell r="C481" t="str">
            <v>PEOMMIM0100MMBOM01</v>
          </cell>
          <cell r="D481" t="str">
            <v>VENTANILLA Y MALACAS</v>
          </cell>
          <cell r="E481" t="str">
            <v>ENGRASE BOMBA</v>
          </cell>
          <cell r="F481" t="str">
            <v>CAMBIO DE GRASA LADO MOTOR</v>
          </cell>
          <cell r="G481" t="str">
            <v>MMIM0100</v>
          </cell>
          <cell r="H481" t="str">
            <v>NUM</v>
          </cell>
          <cell r="I481">
            <v>1</v>
          </cell>
          <cell r="J481">
            <v>4</v>
          </cell>
          <cell r="K481">
            <v>2</v>
          </cell>
          <cell r="L481">
            <v>8</v>
          </cell>
          <cell r="M481" t="str">
            <v>NO</v>
          </cell>
          <cell r="N481">
            <v>9</v>
          </cell>
          <cell r="O481">
            <v>0</v>
          </cell>
          <cell r="P481">
            <v>10</v>
          </cell>
          <cell r="Q481">
            <v>27</v>
          </cell>
          <cell r="R481">
            <v>0</v>
          </cell>
          <cell r="S481">
            <v>30</v>
          </cell>
          <cell r="T481">
            <v>351.72991459525849</v>
          </cell>
          <cell r="U481"/>
          <cell r="V481">
            <v>351.72991459525849</v>
          </cell>
          <cell r="W481">
            <v>9496.7076940719799</v>
          </cell>
          <cell r="X481">
            <v>0</v>
          </cell>
          <cell r="Y481">
            <v>9496.7076940719799</v>
          </cell>
          <cell r="Z481">
            <v>10551.897437857755</v>
          </cell>
          <cell r="AA481">
            <v>351.72991459525849</v>
          </cell>
          <cell r="AB481">
            <v>19.171538486527368</v>
          </cell>
          <cell r="AC481">
            <v>8</v>
          </cell>
          <cell r="AD481">
            <v>54.71695176328322</v>
          </cell>
          <cell r="AE481">
            <v>99.152105294933293</v>
          </cell>
          <cell r="AF481">
            <v>18.434481897026128</v>
          </cell>
          <cell r="AG481">
            <v>26.054067747796925</v>
          </cell>
          <cell r="AH481" t="str">
            <v>Mecánica</v>
          </cell>
          <cell r="AI481">
            <v>351.72991459525849</v>
          </cell>
          <cell r="AJ481">
            <v>8</v>
          </cell>
          <cell r="AK481">
            <v>43.966239324407312</v>
          </cell>
        </row>
        <row r="482">
          <cell r="A482" t="str">
            <v>P058</v>
          </cell>
          <cell r="B482" t="str">
            <v>PREV</v>
          </cell>
          <cell r="C482" t="str">
            <v>PEOMMIM0100MMCAL05</v>
          </cell>
          <cell r="D482"/>
          <cell r="E482" t="str">
            <v>CALIBRACION EN LINEA</v>
          </cell>
          <cell r="F482" t="str">
            <v>CALIBRACIÓN EN LÍNEA DE VÁLVULAS DE SEGURIDAD DE VAPOR. INSTALACIÓN DE EQUIPO ESPECIALIZADO PARA VERIFICACIÓN Y CORRECCIÓN DE SER NECESARIO DE LA PRESIÓN DE SETEO.</v>
          </cell>
          <cell r="G482" t="str">
            <v>MMIM0100</v>
          </cell>
          <cell r="H482" t="str">
            <v>NUM</v>
          </cell>
          <cell r="I482">
            <v>1</v>
          </cell>
          <cell r="J482">
            <v>24</v>
          </cell>
          <cell r="K482">
            <v>2</v>
          </cell>
          <cell r="L482">
            <v>48</v>
          </cell>
          <cell r="M482" t="str">
            <v>SI</v>
          </cell>
          <cell r="N482">
            <v>0</v>
          </cell>
          <cell r="O482">
            <v>0</v>
          </cell>
          <cell r="P482">
            <v>0</v>
          </cell>
          <cell r="Q482">
            <v>0</v>
          </cell>
          <cell r="R482">
            <v>0</v>
          </cell>
          <cell r="S482">
            <v>0</v>
          </cell>
          <cell r="T482"/>
          <cell r="U482"/>
          <cell r="V482"/>
          <cell r="W482">
            <v>0</v>
          </cell>
          <cell r="X482">
            <v>0</v>
          </cell>
          <cell r="Y482">
            <v>0</v>
          </cell>
          <cell r="Z482">
            <v>0</v>
          </cell>
          <cell r="AA482">
            <v>2055.2438119359581</v>
          </cell>
          <cell r="AB482">
            <v>19.171538486527368</v>
          </cell>
          <cell r="AC482">
            <v>48</v>
          </cell>
          <cell r="AD482">
            <v>335.41489026912024</v>
          </cell>
          <cell r="AE482">
            <v>539.63761102882245</v>
          </cell>
          <cell r="AF482">
            <v>107.71718091907537</v>
          </cell>
          <cell r="AG482">
            <v>152.24028236562654</v>
          </cell>
          <cell r="AH482" t="str">
            <v>Mecánica</v>
          </cell>
          <cell r="AI482">
            <v>2055.2438119359581</v>
          </cell>
          <cell r="AJ482">
            <v>48</v>
          </cell>
          <cell r="AK482">
            <v>42.81757941533246</v>
          </cell>
        </row>
        <row r="483">
          <cell r="A483" t="str">
            <v>C311</v>
          </cell>
          <cell r="B483" t="str">
            <v>COND</v>
          </cell>
          <cell r="C483" t="str">
            <v>WWOMMIM01062000100</v>
          </cell>
          <cell r="D483" t="str">
            <v>VENTANILLA, SANTA ROSA Y MALACAS</v>
          </cell>
          <cell r="E483" t="str">
            <v>DETECCIÓN Y LOCALIZACIÓN FUGAS H2</v>
          </cell>
          <cell r="F483" t="str">
            <v>BUSQUEDA DE PUNTOS (UNO O VARIOS) DE FUGA DE HIDRÓGENO MEDIANTE EQUIPO PORTÁTIL DE DETECCIÓN DE H2 EN CIRCUITO DE REGRERACIÓN DE TURBOALTERNADOR, INCLUYENDO GENERADOR PROPIAMETNE DICHO, EQUIPOS AUXILAIRES Y ZONA DE ALMACENAMIENTO DE HIDRÓGENO CORRRESPONDIENTE. ENTREGA DE INFORME CON LA IDENTIFICACIÓN DE FUGAS</v>
          </cell>
          <cell r="G483" t="str">
            <v>MMIM0100</v>
          </cell>
          <cell r="H483" t="str">
            <v>NUM</v>
          </cell>
          <cell r="I483">
            <v>1</v>
          </cell>
          <cell r="J483">
            <v>2</v>
          </cell>
          <cell r="K483">
            <v>4</v>
          </cell>
          <cell r="L483">
            <v>8</v>
          </cell>
          <cell r="M483" t="str">
            <v>NO</v>
          </cell>
          <cell r="N483">
            <v>4</v>
          </cell>
          <cell r="O483">
            <v>3</v>
          </cell>
          <cell r="P483">
            <v>3</v>
          </cell>
          <cell r="Q483">
            <v>12</v>
          </cell>
          <cell r="R483">
            <v>9</v>
          </cell>
          <cell r="S483">
            <v>9</v>
          </cell>
          <cell r="T483">
            <v>350.96108142828018</v>
          </cell>
          <cell r="U483">
            <v>350.96108142828018</v>
          </cell>
          <cell r="V483">
            <v>350.96108142828018</v>
          </cell>
          <cell r="W483">
            <v>4211.5329771393626</v>
          </cell>
          <cell r="X483">
            <v>3158.6497328545215</v>
          </cell>
          <cell r="Y483">
            <v>7370.1827099938837</v>
          </cell>
          <cell r="Z483">
            <v>3158.6497328545215</v>
          </cell>
          <cell r="AA483">
            <v>350.96108142828018</v>
          </cell>
          <cell r="AB483">
            <v>19.97398901669203</v>
          </cell>
          <cell r="AC483">
            <v>8</v>
          </cell>
          <cell r="AD483">
            <v>56.261174701704157</v>
          </cell>
          <cell r="AE483">
            <v>90.516690792537489</v>
          </cell>
          <cell r="AF483">
            <v>18.394186657666673</v>
          </cell>
          <cell r="AG483">
            <v>25.99711714283557</v>
          </cell>
          <cell r="AH483" t="str">
            <v>Mecánica</v>
          </cell>
          <cell r="AI483">
            <v>350.96108142828018</v>
          </cell>
          <cell r="AJ483">
            <v>8</v>
          </cell>
          <cell r="AK483">
            <v>43.870135178535023</v>
          </cell>
        </row>
        <row r="484">
          <cell r="A484" t="str">
            <v>L052</v>
          </cell>
          <cell r="B484" t="str">
            <v>MBO + LI</v>
          </cell>
          <cell r="C484" t="str">
            <v>PEOMMPI02LV1MOV012</v>
          </cell>
          <cell r="D484" t="str">
            <v>VENTANILLA Y MALACAS</v>
          </cell>
          <cell r="E484" t="str">
            <v>APOYO OPERATIVO PARA MONITOREO ANORMALIDAD</v>
          </cell>
          <cell r="F484" t="str">
            <v>APOYO A LA OPERACIÓN PARA MONITOREO DE PLANTA</v>
          </cell>
          <cell r="G484" t="str">
            <v>MMPI0200</v>
          </cell>
          <cell r="H484" t="str">
            <v>NUM</v>
          </cell>
          <cell r="I484">
            <v>1</v>
          </cell>
          <cell r="J484">
            <v>12</v>
          </cell>
          <cell r="K484">
            <v>1</v>
          </cell>
          <cell r="L484">
            <v>12</v>
          </cell>
          <cell r="M484" t="str">
            <v>NO</v>
          </cell>
          <cell r="N484">
            <v>24</v>
          </cell>
          <cell r="O484">
            <v>0</v>
          </cell>
          <cell r="P484">
            <v>1</v>
          </cell>
          <cell r="Q484">
            <v>72</v>
          </cell>
          <cell r="R484">
            <v>0</v>
          </cell>
          <cell r="S484">
            <v>3</v>
          </cell>
          <cell r="T484">
            <v>367.02960000000013</v>
          </cell>
          <cell r="U484"/>
          <cell r="V484">
            <v>367.02960000000013</v>
          </cell>
          <cell r="W484">
            <v>26426.131200000011</v>
          </cell>
          <cell r="X484">
            <v>0</v>
          </cell>
          <cell r="Y484">
            <v>26426.131200000011</v>
          </cell>
          <cell r="Z484">
            <v>1101.0888000000004</v>
          </cell>
          <cell r="AA484">
            <v>367.02960000000013</v>
          </cell>
          <cell r="AB484">
            <v>16.258781599143944</v>
          </cell>
          <cell r="AC484">
            <v>12</v>
          </cell>
          <cell r="AD484">
            <v>48.105380303972737</v>
          </cell>
          <cell r="AE484">
            <v>77.395110527264379</v>
          </cell>
          <cell r="AF484">
            <v>19.236352201257866</v>
          </cell>
          <cell r="AG484">
            <v>27.187377777777787</v>
          </cell>
          <cell r="AH484" t="e">
            <v>#N/A</v>
          </cell>
          <cell r="AI484">
            <v>367.02960000000013</v>
          </cell>
          <cell r="AJ484">
            <v>12</v>
          </cell>
          <cell r="AK484">
            <v>30.58580000000001</v>
          </cell>
        </row>
        <row r="485">
          <cell r="A485" t="str">
            <v>L060</v>
          </cell>
          <cell r="B485" t="str">
            <v>MBO + LI</v>
          </cell>
          <cell r="C485" t="str">
            <v>PEOMMPI0200LVOSR08</v>
          </cell>
          <cell r="D485" t="str">
            <v>SANTA ROSA Y MALACAS</v>
          </cell>
          <cell r="E485" t="str">
            <v>APOYO OPERATIVO PARA MONITOREO ANORMALIDAD</v>
          </cell>
          <cell r="F485" t="str">
            <v>APOYO A LA OPERACIÓN PARA MONITOREO DE PLANTA</v>
          </cell>
          <cell r="G485" t="str">
            <v>MMPI0200</v>
          </cell>
          <cell r="H485" t="str">
            <v>NUM</v>
          </cell>
          <cell r="I485">
            <v>1</v>
          </cell>
          <cell r="J485">
            <v>12</v>
          </cell>
          <cell r="K485">
            <v>1</v>
          </cell>
          <cell r="L485">
            <v>12</v>
          </cell>
          <cell r="M485" t="str">
            <v>NO</v>
          </cell>
          <cell r="N485">
            <v>0</v>
          </cell>
          <cell r="O485">
            <v>12</v>
          </cell>
          <cell r="P485">
            <v>1</v>
          </cell>
          <cell r="Q485">
            <v>0</v>
          </cell>
          <cell r="R485">
            <v>36</v>
          </cell>
          <cell r="S485">
            <v>3</v>
          </cell>
          <cell r="T485"/>
          <cell r="U485">
            <v>367.02959999999979</v>
          </cell>
          <cell r="V485">
            <v>367.02959999999979</v>
          </cell>
          <cell r="W485">
            <v>0</v>
          </cell>
          <cell r="X485">
            <v>13213.065599999993</v>
          </cell>
          <cell r="Y485">
            <v>13213.065599999993</v>
          </cell>
          <cell r="Z485">
            <v>1101.0887999999993</v>
          </cell>
          <cell r="AA485">
            <v>367.02959999999979</v>
          </cell>
          <cell r="AB485">
            <v>16.258781599143944</v>
          </cell>
          <cell r="AC485">
            <v>12</v>
          </cell>
          <cell r="AD485">
            <v>48.105380303972645</v>
          </cell>
          <cell r="AE485">
            <v>77.395110527264222</v>
          </cell>
          <cell r="AF485">
            <v>19.236352201257851</v>
          </cell>
          <cell r="AG485">
            <v>27.187377777777762</v>
          </cell>
          <cell r="AH485" t="e">
            <v>#N/A</v>
          </cell>
          <cell r="AI485">
            <v>367.02959999999979</v>
          </cell>
          <cell r="AJ485">
            <v>12</v>
          </cell>
          <cell r="AK485">
            <v>30.585799999999981</v>
          </cell>
        </row>
        <row r="486">
          <cell r="A486" t="str">
            <v>P088</v>
          </cell>
          <cell r="B486" t="str">
            <v>PREV</v>
          </cell>
          <cell r="C486" t="str">
            <v>WWOMMIM01060700200</v>
          </cell>
          <cell r="D486" t="str">
            <v>VENTANILLA Y MALACAS</v>
          </cell>
          <cell r="E486" t="str">
            <v>SUSTITUCIÓN FILTROS ACEITE TG</v>
          </cell>
          <cell r="F486" t="str">
            <v>APERTURA Y CIERRE DEL FILTRO MÁS SUSTITUCIÓN DEL CARTUCHO INTERIOR. SE INCLUYEN LA UTILIZACIÓN DE TODOS LOS MEDIOS NECESARIOS PARA LA REALIZACIÓN DE LA TAREA. NO SE INCLUYE EL DESMONTAJE DEL PANELADO DEL SKID DE LUBRICACIÓN.</v>
          </cell>
          <cell r="G486" t="str">
            <v>MMIM0106</v>
          </cell>
          <cell r="H486" t="str">
            <v>NUM</v>
          </cell>
          <cell r="I486">
            <v>1</v>
          </cell>
          <cell r="J486">
            <v>2</v>
          </cell>
          <cell r="K486">
            <v>2</v>
          </cell>
          <cell r="L486">
            <v>4</v>
          </cell>
          <cell r="M486" t="str">
            <v>NO</v>
          </cell>
          <cell r="N486">
            <v>10</v>
          </cell>
          <cell r="O486">
            <v>0</v>
          </cell>
          <cell r="P486">
            <v>6</v>
          </cell>
          <cell r="Q486">
            <v>30</v>
          </cell>
          <cell r="R486">
            <v>0</v>
          </cell>
          <cell r="S486">
            <v>18</v>
          </cell>
          <cell r="T486">
            <v>175.86495729762947</v>
          </cell>
          <cell r="U486"/>
          <cell r="V486">
            <v>175.86495729762947</v>
          </cell>
          <cell r="W486">
            <v>5275.9487189288839</v>
          </cell>
          <cell r="X486">
            <v>0</v>
          </cell>
          <cell r="Y486">
            <v>5275.9487189288839</v>
          </cell>
          <cell r="Z486">
            <v>3165.5692313573304</v>
          </cell>
          <cell r="AA486">
            <v>175.86495729762947</v>
          </cell>
          <cell r="AB486">
            <v>19.171538486527368</v>
          </cell>
          <cell r="AC486">
            <v>4</v>
          </cell>
          <cell r="AD486">
            <v>27.35847588164167</v>
          </cell>
          <cell r="AE486">
            <v>49.576052647466753</v>
          </cell>
          <cell r="AF486">
            <v>9.2172409485130746</v>
          </cell>
          <cell r="AG486">
            <v>13.027033873898478</v>
          </cell>
          <cell r="AH486" t="str">
            <v>Mecánica</v>
          </cell>
          <cell r="AI486">
            <v>175.86495729762947</v>
          </cell>
          <cell r="AJ486">
            <v>4</v>
          </cell>
          <cell r="AK486">
            <v>43.966239324407368</v>
          </cell>
        </row>
        <row r="487">
          <cell r="A487" t="str">
            <v>P089</v>
          </cell>
          <cell r="B487" t="str">
            <v>PREV</v>
          </cell>
          <cell r="C487" t="str">
            <v>WWOMMIM01060700300</v>
          </cell>
          <cell r="D487" t="str">
            <v>VENTANILLA</v>
          </cell>
          <cell r="E487" t="str">
            <v>SUSTITUCIÓN FILTROS ACEITE TV</v>
          </cell>
          <cell r="F487" t="str">
            <v>APERTURA Y CIERRE DEL FILTRO MÁS SUSTITUCIÓN DEL CARTUCHO INTERIOR. SE INCLUYEN LA UTILIZACIÓN DE TODOS LOS MEDIOS NECESARIOS PARA LA REALIZACIÓN DE LA TAREA. NO SE INCLUYE EL DESMONTAJE DEL PANELADO DEL SKID DE LUBRICACIÓN.</v>
          </cell>
          <cell r="G487" t="str">
            <v>MMIM0106</v>
          </cell>
          <cell r="H487" t="str">
            <v>NUM</v>
          </cell>
          <cell r="I487">
            <v>1</v>
          </cell>
          <cell r="J487">
            <v>2</v>
          </cell>
          <cell r="K487">
            <v>2</v>
          </cell>
          <cell r="L487">
            <v>4</v>
          </cell>
          <cell r="M487" t="str">
            <v>NO</v>
          </cell>
          <cell r="N487">
            <v>1</v>
          </cell>
          <cell r="O487">
            <v>0</v>
          </cell>
          <cell r="P487">
            <v>0</v>
          </cell>
          <cell r="Q487">
            <v>3</v>
          </cell>
          <cell r="R487">
            <v>0</v>
          </cell>
          <cell r="S487">
            <v>0</v>
          </cell>
          <cell r="T487">
            <v>178.83988263852504</v>
          </cell>
          <cell r="U487"/>
          <cell r="V487">
            <v>0</v>
          </cell>
          <cell r="W487">
            <v>536.51964791557509</v>
          </cell>
          <cell r="X487">
            <v>0</v>
          </cell>
          <cell r="Y487">
            <v>536.51964791557509</v>
          </cell>
          <cell r="Z487">
            <v>0</v>
          </cell>
          <cell r="AA487">
            <v>178.83988263852504</v>
          </cell>
          <cell r="AB487">
            <v>19.171538486527368</v>
          </cell>
          <cell r="AC487">
            <v>4</v>
          </cell>
          <cell r="AD487">
            <v>28.282571802504137</v>
          </cell>
          <cell r="AE487">
            <v>51.250598708518666</v>
          </cell>
          <cell r="AF487">
            <v>9.3731594674279357</v>
          </cell>
          <cell r="AG487">
            <v>13.247398713964817</v>
          </cell>
          <cell r="AH487" t="str">
            <v>Mecánica</v>
          </cell>
          <cell r="AI487">
            <v>178.83988263852504</v>
          </cell>
          <cell r="AJ487">
            <v>4</v>
          </cell>
          <cell r="AK487">
            <v>44.70997065963126</v>
          </cell>
        </row>
        <row r="488">
          <cell r="A488" t="str">
            <v>C274</v>
          </cell>
          <cell r="B488" t="str">
            <v>COND</v>
          </cell>
          <cell r="C488" t="str">
            <v>WWOMMIM01060700200</v>
          </cell>
          <cell r="D488" t="str">
            <v>VENTANILLA, SANTA ROSA Y MALACAS</v>
          </cell>
          <cell r="E488" t="str">
            <v>SUSTITUCIÓN FILTROS ACEITE TG</v>
          </cell>
          <cell r="F488" t="str">
            <v>APERTURA Y CIERRE DEL FILTRO MÁS SUSTITUCIÓN DEL CARTUCHO INTERIOR. SE INCLUYEN LA UTILIZACIÓN DE TODOS LOS MEDIOS NECESARIOS PARA LA REALIZACIÓN DE LA TAREA. NO SE INCLUYE EL DESMONTAJE DEL PANELADO DEL SKID DE LUBRICACIÓN.</v>
          </cell>
          <cell r="G488" t="str">
            <v>MMIM0100</v>
          </cell>
          <cell r="H488" t="str">
            <v>NUM</v>
          </cell>
          <cell r="I488">
            <v>1</v>
          </cell>
          <cell r="J488">
            <v>2</v>
          </cell>
          <cell r="K488">
            <v>2</v>
          </cell>
          <cell r="L488">
            <v>4</v>
          </cell>
          <cell r="M488" t="str">
            <v>NO</v>
          </cell>
          <cell r="N488">
            <v>1</v>
          </cell>
          <cell r="O488">
            <v>1</v>
          </cell>
          <cell r="P488">
            <v>1</v>
          </cell>
          <cell r="Q488">
            <v>3</v>
          </cell>
          <cell r="R488">
            <v>3</v>
          </cell>
          <cell r="S488">
            <v>3</v>
          </cell>
          <cell r="T488">
            <v>171.27031766132998</v>
          </cell>
          <cell r="U488">
            <v>171.27031766132998</v>
          </cell>
          <cell r="V488">
            <v>171.27031766132998</v>
          </cell>
          <cell r="W488">
            <v>513.81095298398998</v>
          </cell>
          <cell r="X488">
            <v>513.81095298398998</v>
          </cell>
          <cell r="Y488">
            <v>1027.62190596798</v>
          </cell>
          <cell r="Z488">
            <v>513.81095298398998</v>
          </cell>
          <cell r="AA488">
            <v>171.27031766132998</v>
          </cell>
          <cell r="AB488">
            <v>19.171538486527368</v>
          </cell>
          <cell r="AC488">
            <v>4</v>
          </cell>
          <cell r="AD488">
            <v>27.951240855760062</v>
          </cell>
          <cell r="AE488">
            <v>44.969800919068597</v>
          </cell>
          <cell r="AF488">
            <v>8.9764317432562883</v>
          </cell>
          <cell r="AG488">
            <v>12.686690197135555</v>
          </cell>
          <cell r="AH488" t="str">
            <v>Mecánica</v>
          </cell>
          <cell r="AI488">
            <v>171.27031766132998</v>
          </cell>
          <cell r="AJ488">
            <v>4</v>
          </cell>
          <cell r="AK488">
            <v>42.817579415332496</v>
          </cell>
        </row>
        <row r="489">
          <cell r="A489" t="str">
            <v>C275</v>
          </cell>
          <cell r="B489" t="str">
            <v>COND</v>
          </cell>
          <cell r="C489" t="str">
            <v>WWOMMIM01060700300</v>
          </cell>
          <cell r="D489" t="str">
            <v>VENTANILLA, SANTA ROSA Y MALACAS</v>
          </cell>
          <cell r="E489" t="str">
            <v>SUSTITUCIÓN FILTROS ACEITE TV</v>
          </cell>
          <cell r="F489" t="str">
            <v>APERTURA Y CIERRE DEL FILTRO MÁS SUSTITUCIÓN DEL CARTUCHO INTERIOR. SE INCLUYEN LA UTILIZACIÓN DE TODOS LOS MEDIOS NECESARIOS PARA LA REALIZACIÓN DE LA TAREA. NO SE INCLUYE EL DESMONTAJE DEL PANELADO DEL SKID DE LUBRICACIÓN.</v>
          </cell>
          <cell r="G489" t="str">
            <v>MMIM0100</v>
          </cell>
          <cell r="H489" t="str">
            <v>NUM</v>
          </cell>
          <cell r="I489">
            <v>1</v>
          </cell>
          <cell r="J489">
            <v>2</v>
          </cell>
          <cell r="K489">
            <v>2</v>
          </cell>
          <cell r="L489">
            <v>4</v>
          </cell>
          <cell r="M489" t="str">
            <v>NO</v>
          </cell>
          <cell r="N489">
            <v>1</v>
          </cell>
          <cell r="O489">
            <v>1</v>
          </cell>
          <cell r="P489">
            <v>1</v>
          </cell>
          <cell r="Q489">
            <v>3</v>
          </cell>
          <cell r="R489">
            <v>3</v>
          </cell>
          <cell r="S489">
            <v>3</v>
          </cell>
          <cell r="T489">
            <v>171.27031766132998</v>
          </cell>
          <cell r="U489">
            <v>171.27031766132998</v>
          </cell>
          <cell r="V489">
            <v>171.27031766132998</v>
          </cell>
          <cell r="W489">
            <v>513.81095298398998</v>
          </cell>
          <cell r="X489">
            <v>513.81095298398998</v>
          </cell>
          <cell r="Y489">
            <v>1027.62190596798</v>
          </cell>
          <cell r="Z489">
            <v>513.81095298398998</v>
          </cell>
          <cell r="AA489">
            <v>171.27031766132998</v>
          </cell>
          <cell r="AB489">
            <v>19.171538486527368</v>
          </cell>
          <cell r="AC489">
            <v>4</v>
          </cell>
          <cell r="AD489">
            <v>27.951240855760062</v>
          </cell>
          <cell r="AE489">
            <v>44.969800919068597</v>
          </cell>
          <cell r="AF489">
            <v>8.9764317432562883</v>
          </cell>
          <cell r="AG489">
            <v>12.686690197135555</v>
          </cell>
          <cell r="AH489" t="str">
            <v>Mecánica</v>
          </cell>
          <cell r="AI489">
            <v>171.27031766132998</v>
          </cell>
          <cell r="AJ489">
            <v>4</v>
          </cell>
          <cell r="AK489">
            <v>42.817579415332496</v>
          </cell>
        </row>
        <row r="490">
          <cell r="A490" t="str">
            <v>C150</v>
          </cell>
          <cell r="B490" t="str">
            <v>COND</v>
          </cell>
          <cell r="C490" t="str">
            <v>WWOLEII09081300300</v>
          </cell>
          <cell r="D490" t="str">
            <v>VENTANILLA, SANTA ROSA Y MALACAS</v>
          </cell>
          <cell r="E490" t="str">
            <v>APERT/CIERRE TAPAS GENERADOR</v>
          </cell>
          <cell r="F490" t="str">
            <v>APERTURA Y CIERRE DE LAS TAPAS DEL GENERADOR DE ACCESO A LAS CONEXIONES. EL PRECIO ES PARA TODAS LAS TAPAS DE LA MAQUINA.</v>
          </cell>
          <cell r="G490" t="str">
            <v>LEII0900</v>
          </cell>
          <cell r="H490" t="str">
            <v>NUM</v>
          </cell>
          <cell r="I490">
            <v>1</v>
          </cell>
          <cell r="J490">
            <v>4</v>
          </cell>
          <cell r="K490">
            <v>3</v>
          </cell>
          <cell r="L490">
            <v>12</v>
          </cell>
          <cell r="M490" t="str">
            <v>SI</v>
          </cell>
          <cell r="N490">
            <v>4</v>
          </cell>
          <cell r="O490">
            <v>3</v>
          </cell>
          <cell r="P490">
            <v>3</v>
          </cell>
          <cell r="Q490">
            <v>12</v>
          </cell>
          <cell r="R490">
            <v>9</v>
          </cell>
          <cell r="S490">
            <v>9</v>
          </cell>
          <cell r="T490">
            <v>526.39239725853815</v>
          </cell>
          <cell r="U490">
            <v>526.39239725853815</v>
          </cell>
          <cell r="V490">
            <v>526.39239725853815</v>
          </cell>
          <cell r="W490">
            <v>6316.7087671024583</v>
          </cell>
          <cell r="X490">
            <v>4737.5315753268433</v>
          </cell>
          <cell r="Y490">
            <v>11054.240342429301</v>
          </cell>
          <cell r="Z490">
            <v>4737.5315753268433</v>
          </cell>
          <cell r="AA490">
            <v>526.39239725853815</v>
          </cell>
          <cell r="AB490">
            <v>19.924508292717125</v>
          </cell>
          <cell r="AC490">
            <v>12</v>
          </cell>
          <cell r="AD490">
            <v>84.602876771823347</v>
          </cell>
          <cell r="AE490">
            <v>136.1146914815898</v>
          </cell>
          <cell r="AF490">
            <v>27.58870006596112</v>
          </cell>
          <cell r="AG490">
            <v>38.992029426558382</v>
          </cell>
          <cell r="AH490" t="str">
            <v>Electricidad</v>
          </cell>
          <cell r="AI490">
            <v>526.39239725853815</v>
          </cell>
          <cell r="AJ490">
            <v>12</v>
          </cell>
          <cell r="AK490">
            <v>43.866033104878177</v>
          </cell>
        </row>
        <row r="491">
          <cell r="A491" t="str">
            <v>C271</v>
          </cell>
          <cell r="B491" t="str">
            <v>COND</v>
          </cell>
          <cell r="C491" t="str">
            <v>WWOMMIM01060701300</v>
          </cell>
          <cell r="D491" t="str">
            <v>VENTANILLA, SANTA ROSA Y MALACAS</v>
          </cell>
          <cell r="E491" t="str">
            <v>APERTURA/CIERRE INLET (IGV)</v>
          </cell>
          <cell r="F491" t="str">
            <v>APERTURA O CIERRE DEL ACCESO AL INLET DE LOS IGVS DE LA TURBINA. EL ALCANCE DE LA ACCTIVIDAD CONTEMPLA LA APERTURA O EL CIERRE.</v>
          </cell>
          <cell r="G491" t="str">
            <v>MMIM0100</v>
          </cell>
          <cell r="H491" t="str">
            <v>NUM</v>
          </cell>
          <cell r="I491">
            <v>1</v>
          </cell>
          <cell r="J491">
            <v>1</v>
          </cell>
          <cell r="K491">
            <v>2</v>
          </cell>
          <cell r="L491">
            <v>2</v>
          </cell>
          <cell r="M491" t="str">
            <v>NO</v>
          </cell>
          <cell r="N491">
            <v>4</v>
          </cell>
          <cell r="O491">
            <v>3</v>
          </cell>
          <cell r="P491">
            <v>3</v>
          </cell>
          <cell r="Q491">
            <v>12</v>
          </cell>
          <cell r="R491">
            <v>9</v>
          </cell>
          <cell r="S491">
            <v>9</v>
          </cell>
          <cell r="T491">
            <v>85.635158830664992</v>
          </cell>
          <cell r="U491">
            <v>85.635158830664992</v>
          </cell>
          <cell r="V491">
            <v>85.635158830664992</v>
          </cell>
          <cell r="W491">
            <v>1027.62190596798</v>
          </cell>
          <cell r="X491">
            <v>770.71642947598491</v>
          </cell>
          <cell r="Y491">
            <v>1798.3383354439648</v>
          </cell>
          <cell r="Z491">
            <v>770.71642947598491</v>
          </cell>
          <cell r="AA491">
            <v>85.635158830664992</v>
          </cell>
          <cell r="AB491">
            <v>19.171538486527368</v>
          </cell>
          <cell r="AC491">
            <v>2</v>
          </cell>
          <cell r="AD491">
            <v>13.975620427880031</v>
          </cell>
          <cell r="AE491">
            <v>22.484900459534298</v>
          </cell>
          <cell r="AF491">
            <v>4.4882158716281442</v>
          </cell>
          <cell r="AG491">
            <v>6.3433450985677773</v>
          </cell>
          <cell r="AH491" t="str">
            <v>Mecánica</v>
          </cell>
          <cell r="AI491">
            <v>85.635158830664992</v>
          </cell>
          <cell r="AJ491">
            <v>2</v>
          </cell>
          <cell r="AK491">
            <v>42.817579415332496</v>
          </cell>
        </row>
        <row r="492">
          <cell r="A492" t="str">
            <v>C257</v>
          </cell>
          <cell r="B492" t="str">
            <v>COND</v>
          </cell>
          <cell r="C492" t="str">
            <v>WWOMMIM01060500900</v>
          </cell>
          <cell r="D492" t="str">
            <v>VENTANILLA, SANTA ROSA Y MALACAS</v>
          </cell>
          <cell r="E492" t="str">
            <v>SUSTITUCIÓN FILTRO SEPARADORA</v>
          </cell>
          <cell r="F492" t="str">
            <v>APERTURA DE LA TAPA Y DESMONTAJE DEL ELEMENTO FILTRANTE, CEPILLADO Y LUBRICACIÓN DE TIRANTES, SUSTITUCIÓN DE LA JUNTA Y REMONTAJE DEL CONJUNTO DESPUÉS DE LA SUSTITUCIÓN DEL FILTRO.</v>
          </cell>
          <cell r="G492" t="str">
            <v>MMIM0100</v>
          </cell>
          <cell r="H492" t="str">
            <v>NUM</v>
          </cell>
          <cell r="I492">
            <v>1</v>
          </cell>
          <cell r="J492">
            <v>2</v>
          </cell>
          <cell r="K492">
            <v>2</v>
          </cell>
          <cell r="L492">
            <v>4</v>
          </cell>
          <cell r="M492" t="str">
            <v>NO</v>
          </cell>
          <cell r="N492">
            <v>4</v>
          </cell>
          <cell r="O492">
            <v>3</v>
          </cell>
          <cell r="P492">
            <v>3</v>
          </cell>
          <cell r="Q492">
            <v>12</v>
          </cell>
          <cell r="R492">
            <v>9</v>
          </cell>
          <cell r="S492">
            <v>9</v>
          </cell>
          <cell r="T492">
            <v>179.69076376695025</v>
          </cell>
          <cell r="U492">
            <v>179.69076376695025</v>
          </cell>
          <cell r="V492">
            <v>179.69076376695025</v>
          </cell>
          <cell r="W492">
            <v>2156.2891652034032</v>
          </cell>
          <cell r="X492">
            <v>1617.2168739025524</v>
          </cell>
          <cell r="Y492">
            <v>3773.5060391059556</v>
          </cell>
          <cell r="Z492">
            <v>1617.2168739025524</v>
          </cell>
          <cell r="AA492">
            <v>179.69076376695025</v>
          </cell>
          <cell r="AB492">
            <v>20.776439546856693</v>
          </cell>
          <cell r="AC492">
            <v>4</v>
          </cell>
          <cell r="AD492">
            <v>28.30993384594413</v>
          </cell>
          <cell r="AE492">
            <v>45.546889873468949</v>
          </cell>
          <cell r="AF492">
            <v>9.4177549144103914</v>
          </cell>
          <cell r="AG492">
            <v>13.310426945700019</v>
          </cell>
          <cell r="AH492" t="str">
            <v>Mecánica</v>
          </cell>
          <cell r="AI492">
            <v>179.69076376695025</v>
          </cell>
          <cell r="AJ492">
            <v>4</v>
          </cell>
          <cell r="AK492">
            <v>44.922690941737564</v>
          </cell>
        </row>
        <row r="493">
          <cell r="A493" t="str">
            <v>C253</v>
          </cell>
          <cell r="B493" t="str">
            <v>COND</v>
          </cell>
          <cell r="C493" t="str">
            <v>WWOMMIM01060500500</v>
          </cell>
          <cell r="D493" t="str">
            <v>VENTANILLA, SANTA ROSA Y MALACAS</v>
          </cell>
          <cell r="E493" t="str">
            <v>REPARAR FUGA EN CUERPO DEL FILTRO</v>
          </cell>
          <cell r="F493" t="str">
            <v>APERTURA DE LA TAPA Y DESMONTAJE DEL ELEMENTO FILTRANTE CON POSIBLE SUSTITUCIÓN, CEPILLADO Y LUBRICACIÓN DE TIRANTES, SUSTITUCIÓN DE LA JUNTA Y REMONTAJE DEL CONJUNTO DESPUÉS DE LA LIMPIEZA DEL FILTRO POR EL CONTRATISTA</v>
          </cell>
          <cell r="G493" t="str">
            <v>MMIM0100</v>
          </cell>
          <cell r="H493" t="str">
            <v>NUM</v>
          </cell>
          <cell r="I493">
            <v>1</v>
          </cell>
          <cell r="J493">
            <v>2</v>
          </cell>
          <cell r="K493">
            <v>2</v>
          </cell>
          <cell r="L493">
            <v>4</v>
          </cell>
          <cell r="M493" t="str">
            <v>NO</v>
          </cell>
          <cell r="N493">
            <v>4</v>
          </cell>
          <cell r="O493">
            <v>3</v>
          </cell>
          <cell r="P493">
            <v>3</v>
          </cell>
          <cell r="Q493">
            <v>12</v>
          </cell>
          <cell r="R493">
            <v>9</v>
          </cell>
          <cell r="S493">
            <v>9</v>
          </cell>
          <cell r="T493">
            <v>171.27031766132998</v>
          </cell>
          <cell r="U493">
            <v>171.27031766132998</v>
          </cell>
          <cell r="V493">
            <v>171.27031766132998</v>
          </cell>
          <cell r="W493">
            <v>2055.2438119359599</v>
          </cell>
          <cell r="X493">
            <v>1541.4328589519698</v>
          </cell>
          <cell r="Y493">
            <v>3596.6766708879295</v>
          </cell>
          <cell r="Z493">
            <v>1541.4328589519698</v>
          </cell>
          <cell r="AA493">
            <v>171.27031766132998</v>
          </cell>
          <cell r="AB493">
            <v>19.171538486527368</v>
          </cell>
          <cell r="AC493">
            <v>4</v>
          </cell>
          <cell r="AD493">
            <v>27.951240855760062</v>
          </cell>
          <cell r="AE493">
            <v>44.969800919068597</v>
          </cell>
          <cell r="AF493">
            <v>8.9764317432562883</v>
          </cell>
          <cell r="AG493">
            <v>12.686690197135555</v>
          </cell>
          <cell r="AH493" t="str">
            <v>Mecánica</v>
          </cell>
          <cell r="AI493">
            <v>171.27031766132998</v>
          </cell>
          <cell r="AJ493">
            <v>4</v>
          </cell>
          <cell r="AK493">
            <v>42.817579415332496</v>
          </cell>
        </row>
        <row r="494">
          <cell r="A494" t="str">
            <v>C252</v>
          </cell>
          <cell r="B494" t="str">
            <v>COND</v>
          </cell>
          <cell r="C494" t="str">
            <v>WWOMMIM01060500400</v>
          </cell>
          <cell r="D494" t="str">
            <v>VENTANILLA, SANTA ROSA Y MALACAS</v>
          </cell>
          <cell r="E494" t="str">
            <v>REPARAR FUGA BRIDA TUBERIA PURGADOR</v>
          </cell>
          <cell r="F494" t="str">
            <v>APERTURA DE LA BRIDA, CEPILLADO, LUBRICACIÓN Y ENGRASE DE PERNOS, . MONTAJE DE LA BRIDA, DESPUÉS DE LIMPIAR EL ALOJAMIENTO DE LA JUNTA Y MONTAJE DE LA JUNTA NUEVA. PREDISPOSICIÓN PARA EL LLENADO Y PRUEBAS PARA LA DETECCIÓN DE FUGAS EN LA BRIDA.</v>
          </cell>
          <cell r="G494" t="str">
            <v>MMIM0100</v>
          </cell>
          <cell r="H494" t="str">
            <v>NUM</v>
          </cell>
          <cell r="I494">
            <v>1</v>
          </cell>
          <cell r="J494">
            <v>3.75</v>
          </cell>
          <cell r="K494">
            <v>2</v>
          </cell>
          <cell r="L494">
            <v>7.5</v>
          </cell>
          <cell r="M494" t="str">
            <v>NO</v>
          </cell>
          <cell r="N494">
            <v>4</v>
          </cell>
          <cell r="O494">
            <v>3</v>
          </cell>
          <cell r="P494">
            <v>3</v>
          </cell>
          <cell r="Q494">
            <v>12</v>
          </cell>
          <cell r="R494">
            <v>9</v>
          </cell>
          <cell r="S494">
            <v>9</v>
          </cell>
          <cell r="T494">
            <v>321.13184561499349</v>
          </cell>
          <cell r="U494">
            <v>321.13184561499349</v>
          </cell>
          <cell r="V494">
            <v>321.13184561499349</v>
          </cell>
          <cell r="W494">
            <v>3853.5821473799219</v>
          </cell>
          <cell r="X494">
            <v>2890.1866105349413</v>
          </cell>
          <cell r="Y494">
            <v>6743.7687579148633</v>
          </cell>
          <cell r="Z494">
            <v>2890.1866105349413</v>
          </cell>
          <cell r="AA494">
            <v>321.13184561499349</v>
          </cell>
          <cell r="AB494">
            <v>19.171538486527368</v>
          </cell>
          <cell r="AC494">
            <v>7.5</v>
          </cell>
          <cell r="AD494">
            <v>52.408576604550063</v>
          </cell>
          <cell r="AE494">
            <v>84.318376723253522</v>
          </cell>
          <cell r="AF494">
            <v>16.830809518605527</v>
          </cell>
          <cell r="AG494">
            <v>23.787544119629146</v>
          </cell>
          <cell r="AH494" t="str">
            <v>Mecánica</v>
          </cell>
          <cell r="AI494">
            <v>321.13184561499349</v>
          </cell>
          <cell r="AJ494">
            <v>7.5</v>
          </cell>
          <cell r="AK494">
            <v>42.817579415332467</v>
          </cell>
        </row>
        <row r="495">
          <cell r="A495" t="str">
            <v>C165</v>
          </cell>
          <cell r="B495" t="str">
            <v>COND</v>
          </cell>
          <cell r="C495" t="str">
            <v>LMIS0103A070100100</v>
          </cell>
          <cell r="D495" t="str">
            <v>VENTANILLA, SANTA ROSA Y MALACAS</v>
          </cell>
          <cell r="E495" t="str">
            <v>ANDAMIO ESTANDAR</v>
          </cell>
          <cell r="F495" t="str">
            <v>ANDAMIO ESTANDAR</v>
          </cell>
          <cell r="G495" t="str">
            <v>LMIS0103</v>
          </cell>
          <cell r="H495" t="str">
            <v>M3</v>
          </cell>
          <cell r="I495">
            <v>1</v>
          </cell>
          <cell r="J495">
            <v>2</v>
          </cell>
          <cell r="K495">
            <v>3</v>
          </cell>
          <cell r="L495">
            <v>6</v>
          </cell>
          <cell r="M495" t="str">
            <v>SI</v>
          </cell>
          <cell r="N495">
            <v>4</v>
          </cell>
          <cell r="O495">
            <v>3</v>
          </cell>
          <cell r="P495">
            <v>3</v>
          </cell>
          <cell r="Q495">
            <v>12</v>
          </cell>
          <cell r="R495">
            <v>9</v>
          </cell>
          <cell r="S495">
            <v>9</v>
          </cell>
          <cell r="T495">
            <v>254.59489981575305</v>
          </cell>
          <cell r="U495">
            <v>254.59489981575305</v>
          </cell>
          <cell r="V495">
            <v>254.59489981575305</v>
          </cell>
          <cell r="W495">
            <v>3055.1387977890367</v>
          </cell>
          <cell r="X495">
            <v>2291.3540983417774</v>
          </cell>
          <cell r="Y495">
            <v>5346.4928961308142</v>
          </cell>
          <cell r="Z495">
            <v>2291.3540983417774</v>
          </cell>
          <cell r="AA495">
            <v>254.59489981575305</v>
          </cell>
          <cell r="AB495">
            <v>17.87988332086158</v>
          </cell>
          <cell r="AC495">
            <v>6</v>
          </cell>
          <cell r="AD495">
            <v>40.935077541650188</v>
          </cell>
          <cell r="AE495">
            <v>74.178092672727047</v>
          </cell>
          <cell r="AF495">
            <v>13.343548208372802</v>
          </cell>
          <cell r="AG495">
            <v>18.858881467833559</v>
          </cell>
          <cell r="AH495" t="str">
            <v>Mecánica</v>
          </cell>
          <cell r="AI495">
            <v>254.59489981575305</v>
          </cell>
          <cell r="AJ495">
            <v>6</v>
          </cell>
          <cell r="AK495">
            <v>42.432483302625506</v>
          </cell>
        </row>
        <row r="496">
          <cell r="A496" t="str">
            <v>P004</v>
          </cell>
          <cell r="B496" t="str">
            <v>PREV</v>
          </cell>
          <cell r="C496" t="str">
            <v>PEOLEII0900MECAT01</v>
          </cell>
          <cell r="D496" t="str">
            <v>VENTANILLA, SANTA ROSA Y MALACAS</v>
          </cell>
          <cell r="E496" t="str">
            <v>MEDIDA ANODO PROTECCION CATODICA</v>
          </cell>
          <cell r="F496" t="str">
            <v xml:space="preserve">ALTERNADOR - EXCITATRIZ </v>
          </cell>
          <cell r="G496" t="str">
            <v>LEII0900</v>
          </cell>
          <cell r="H496" t="str">
            <v>NUM</v>
          </cell>
          <cell r="I496">
            <v>2</v>
          </cell>
          <cell r="J496">
            <v>1</v>
          </cell>
          <cell r="K496">
            <v>2</v>
          </cell>
          <cell r="L496">
            <v>4</v>
          </cell>
          <cell r="M496" t="str">
            <v>NO</v>
          </cell>
          <cell r="N496">
            <v>16</v>
          </cell>
          <cell r="O496">
            <v>16</v>
          </cell>
          <cell r="P496">
            <v>2</v>
          </cell>
          <cell r="Q496">
            <v>48</v>
          </cell>
          <cell r="R496">
            <v>48</v>
          </cell>
          <cell r="S496">
            <v>6</v>
          </cell>
          <cell r="T496">
            <v>168.30615806138275</v>
          </cell>
          <cell r="U496">
            <v>168.30615806138275</v>
          </cell>
          <cell r="V496">
            <v>168.30615806138275</v>
          </cell>
          <cell r="W496">
            <v>8078.6955869463718</v>
          </cell>
          <cell r="X496">
            <v>8078.6955869463718</v>
          </cell>
          <cell r="Y496">
            <v>16157.391173892744</v>
          </cell>
          <cell r="Z496">
            <v>1009.8369483682965</v>
          </cell>
          <cell r="AA496">
            <v>168.30615806138275</v>
          </cell>
          <cell r="AB496">
            <v>17.555395653041831</v>
          </cell>
          <cell r="AC496">
            <v>4</v>
          </cell>
          <cell r="AD496">
            <v>27.309347543585442</v>
          </cell>
          <cell r="AE496">
            <v>49.487027619738789</v>
          </cell>
          <cell r="AF496">
            <v>8.8210774665294931</v>
          </cell>
          <cell r="AG496">
            <v>12.467122819361684</v>
          </cell>
          <cell r="AH496" t="str">
            <v>Electricidad</v>
          </cell>
          <cell r="AI496">
            <v>168.30615806138275</v>
          </cell>
          <cell r="AJ496">
            <v>4</v>
          </cell>
          <cell r="AK496">
            <v>42.076539515345686</v>
          </cell>
        </row>
        <row r="497">
          <cell r="A497" t="str">
            <v>C299</v>
          </cell>
          <cell r="B497" t="str">
            <v>COND</v>
          </cell>
          <cell r="C497" t="str">
            <v>WWOMMIM01061300100</v>
          </cell>
          <cell r="D497" t="str">
            <v>VENTANILLA, SANTA ROSA Y MALACAS</v>
          </cell>
          <cell r="E497" t="str">
            <v>DESMONTAJE/MONTAJE PLACAS INTERCAMBIADOR</v>
          </cell>
          <cell r="F497" t="str">
            <v>AISLAR ENFRIADOR Y PURGAR. DESMONTAR TUBERÍAS Y ACCESORIOS. DESMONTAR PROTECCIÓN EXTERIOR. DESMONTAJE DE LAS PLACAS INSPECCIÓN VISUAL GENERAL ENFRIADOR TUBERÍAS Y ACCESORIOS. PINTURA EXTERIOR PLACAS EXTREMAS. LIMPIEZA PERNOS TENSORES Y REPASAR ROSCA. ENGRASE PERNOS. CERRAR ENFRIADOR Y APRETAR. MONTAJE TUBERÍAS Y ACCESORIOS. COMPROBAR AUSENCIA FUGAS. MONTAR PROTECCIÓN EXTERIOR PLACAS.</v>
          </cell>
          <cell r="G497" t="str">
            <v>MMIM0100</v>
          </cell>
          <cell r="H497" t="str">
            <v>NUM</v>
          </cell>
          <cell r="I497">
            <v>1</v>
          </cell>
          <cell r="J497">
            <v>8</v>
          </cell>
          <cell r="K497">
            <v>4</v>
          </cell>
          <cell r="L497">
            <v>32</v>
          </cell>
          <cell r="M497" t="str">
            <v>SI</v>
          </cell>
          <cell r="N497">
            <v>4</v>
          </cell>
          <cell r="O497">
            <v>3</v>
          </cell>
          <cell r="P497">
            <v>3</v>
          </cell>
          <cell r="Q497">
            <v>12</v>
          </cell>
          <cell r="R497">
            <v>9</v>
          </cell>
          <cell r="S497">
            <v>9</v>
          </cell>
          <cell r="T497">
            <v>1328.7633095715323</v>
          </cell>
          <cell r="U497">
            <v>1328.7633095715323</v>
          </cell>
          <cell r="V497">
            <v>1328.7633095715323</v>
          </cell>
          <cell r="W497">
            <v>15945.159714858388</v>
          </cell>
          <cell r="X497">
            <v>11958.86978614379</v>
          </cell>
          <cell r="Y497">
            <v>27904.02950100218</v>
          </cell>
          <cell r="Z497">
            <v>11958.86978614379</v>
          </cell>
          <cell r="AA497">
            <v>1328.7633095715323</v>
          </cell>
          <cell r="AB497">
            <v>19.97398901669203</v>
          </cell>
          <cell r="AC497">
            <v>32</v>
          </cell>
          <cell r="AD497">
            <v>178.99110854458939</v>
          </cell>
          <cell r="AE497">
            <v>342.53595778109479</v>
          </cell>
          <cell r="AF497">
            <v>69.641682891589753</v>
          </cell>
          <cell r="AG497">
            <v>98.426911820113517</v>
          </cell>
          <cell r="AH497" t="str">
            <v>Mecánica</v>
          </cell>
          <cell r="AI497">
            <v>1328.7633095715323</v>
          </cell>
          <cell r="AJ497">
            <v>32</v>
          </cell>
          <cell r="AK497">
            <v>41.523853424110385</v>
          </cell>
        </row>
        <row r="498">
          <cell r="A498" t="str">
            <v>C301</v>
          </cell>
          <cell r="B498" t="str">
            <v>COND</v>
          </cell>
          <cell r="C498" t="str">
            <v>WWOMMIM01061300200</v>
          </cell>
          <cell r="D498" t="str">
            <v>VENTANILLA, SANTA ROSA Y MALACAS</v>
          </cell>
          <cell r="E498" t="str">
            <v>REAPRIETE PLACAS INTERCAMBIADOR</v>
          </cell>
          <cell r="F498" t="str">
            <v>AISLAR ENFRIADOR Y PURGAR. DESMONTAR PROTECCIÓN EXTERIOR. APRIETE PERNOS CIERRE ENFRIADOR HASTA LAS MEDIDAS INDICADAS POR LA PROPIEDAD. COMPROBAR AUSENCIA FUGAS. MONTAR PROTECCIÓN EXTERIOR PLACAS.</v>
          </cell>
          <cell r="G498" t="str">
            <v>MMIM0100</v>
          </cell>
          <cell r="H498" t="str">
            <v>NUM</v>
          </cell>
          <cell r="I498">
            <v>1</v>
          </cell>
          <cell r="J498">
            <v>3</v>
          </cell>
          <cell r="K498">
            <v>3</v>
          </cell>
          <cell r="L498">
            <v>9</v>
          </cell>
          <cell r="M498" t="str">
            <v>SI</v>
          </cell>
          <cell r="N498">
            <v>4</v>
          </cell>
          <cell r="O498">
            <v>3</v>
          </cell>
          <cell r="P498">
            <v>3</v>
          </cell>
          <cell r="Q498">
            <v>12</v>
          </cell>
          <cell r="R498">
            <v>9</v>
          </cell>
          <cell r="S498">
            <v>9</v>
          </cell>
          <cell r="T498">
            <v>399.16201893402859</v>
          </cell>
          <cell r="U498">
            <v>399.16201893402859</v>
          </cell>
          <cell r="V498">
            <v>399.16201893402859</v>
          </cell>
          <cell r="W498">
            <v>4789.9442272083434</v>
          </cell>
          <cell r="X498">
            <v>3592.4581704062575</v>
          </cell>
          <cell r="Y498">
            <v>8382.4023976146018</v>
          </cell>
          <cell r="Z498">
            <v>3592.4581704062575</v>
          </cell>
          <cell r="AA498">
            <v>399.16201893402859</v>
          </cell>
          <cell r="AB498">
            <v>20.463193652193159</v>
          </cell>
          <cell r="AC498">
            <v>9</v>
          </cell>
          <cell r="AD498">
            <v>63.056239072545324</v>
          </cell>
          <cell r="AE498">
            <v>101.44903878974679</v>
          </cell>
          <cell r="AF498">
            <v>20.920441243921832</v>
          </cell>
          <cell r="AG498">
            <v>29.567556958076192</v>
          </cell>
          <cell r="AH498" t="str">
            <v>Mecánica</v>
          </cell>
          <cell r="AI498">
            <v>399.16201893402859</v>
          </cell>
          <cell r="AJ498">
            <v>9</v>
          </cell>
          <cell r="AK498">
            <v>44.351335437114287</v>
          </cell>
        </row>
        <row r="499">
          <cell r="A499" t="str">
            <v>C349</v>
          </cell>
          <cell r="B499" t="str">
            <v>COND</v>
          </cell>
          <cell r="C499" t="str">
            <v>PEOLEII09MEADEC001</v>
          </cell>
          <cell r="D499" t="str">
            <v>VENTANILLA</v>
          </cell>
          <cell r="E499" t="str">
            <v>ADECUACION CAJA MOTOR NUEVO</v>
          </cell>
          <cell r="F499" t="str">
            <v>ADECUACION DE CONEXIONES DE CAJAS MOTORES NUEVOS</v>
          </cell>
          <cell r="G499" t="str">
            <v>LEII0900</v>
          </cell>
          <cell r="H499" t="str">
            <v>NUM</v>
          </cell>
          <cell r="I499">
            <v>1</v>
          </cell>
          <cell r="J499">
            <v>1</v>
          </cell>
          <cell r="K499">
            <v>2</v>
          </cell>
          <cell r="L499">
            <v>2</v>
          </cell>
          <cell r="M499" t="str">
            <v>NO</v>
          </cell>
          <cell r="N499">
            <v>8</v>
          </cell>
          <cell r="O499">
            <v>0</v>
          </cell>
          <cell r="P499">
            <v>0</v>
          </cell>
          <cell r="Q499">
            <v>24</v>
          </cell>
          <cell r="R499">
            <v>0</v>
          </cell>
          <cell r="S499">
            <v>0</v>
          </cell>
          <cell r="T499">
            <v>142.72955170691534</v>
          </cell>
          <cell r="U499"/>
          <cell r="V499">
            <v>0</v>
          </cell>
          <cell r="W499">
            <v>3425.5092409659683</v>
          </cell>
          <cell r="X499">
            <v>0</v>
          </cell>
          <cell r="Y499">
            <v>3425.5092409659683</v>
          </cell>
          <cell r="Z499">
            <v>0</v>
          </cell>
          <cell r="AA499">
            <v>142.72955170691534</v>
          </cell>
          <cell r="AB499">
            <v>23.057832511738386</v>
          </cell>
          <cell r="AC499">
            <v>3</v>
          </cell>
          <cell r="AD499">
            <v>21.274726425335579</v>
          </cell>
          <cell r="AE499">
            <v>34.228183889654851</v>
          </cell>
          <cell r="AF499">
            <v>7.4805844710123344</v>
          </cell>
          <cell r="AG499">
            <v>10.572559385697431</v>
          </cell>
          <cell r="AH499" t="e">
            <v>#N/A</v>
          </cell>
          <cell r="AI499">
            <v>142.72955170691534</v>
          </cell>
          <cell r="AJ499">
            <v>2</v>
          </cell>
          <cell r="AK499">
            <v>71.364775853457672</v>
          </cell>
        </row>
        <row r="500">
          <cell r="A500" t="str">
            <v>C149</v>
          </cell>
          <cell r="B500" t="str">
            <v>COND</v>
          </cell>
          <cell r="C500" t="str">
            <v>WWOLEII09081200200</v>
          </cell>
          <cell r="D500" t="str">
            <v>VENTANILLA, SANTA ROSA Y MALACAS</v>
          </cell>
          <cell r="E500" t="str">
            <v>REPARACIÓN ARMARIO LUZ, FUERZA MOTRIZ</v>
          </cell>
          <cell r="F500" t="str">
            <v>ACTIVIDADES DE SUSTITUCIÓN DEL ELEMENTO DEFECTUOSO EN EL ARMARIO LFM (TABLERO O CUADRO DE ALUMBRADO) COMO COMMUTADORES, COMPONENTES MODULARES, SUSTUCIÓN DE TOMAS DE FUERZA.</v>
          </cell>
          <cell r="G500" t="str">
            <v>LEII0900</v>
          </cell>
          <cell r="H500" t="str">
            <v>NUM</v>
          </cell>
          <cell r="I500">
            <v>1</v>
          </cell>
          <cell r="J500">
            <v>2</v>
          </cell>
          <cell r="K500">
            <v>2</v>
          </cell>
          <cell r="L500">
            <v>4</v>
          </cell>
          <cell r="M500" t="str">
            <v>NO</v>
          </cell>
          <cell r="N500">
            <v>4</v>
          </cell>
          <cell r="O500">
            <v>3</v>
          </cell>
          <cell r="P500">
            <v>3</v>
          </cell>
          <cell r="Q500">
            <v>12</v>
          </cell>
          <cell r="R500">
            <v>9</v>
          </cell>
          <cell r="S500">
            <v>9</v>
          </cell>
          <cell r="T500">
            <v>192.44867431860953</v>
          </cell>
          <cell r="U500">
            <v>192.44867431860953</v>
          </cell>
          <cell r="V500">
            <v>192.44867431860953</v>
          </cell>
          <cell r="W500">
            <v>2309.3840918233145</v>
          </cell>
          <cell r="X500">
            <v>1732.0380688674859</v>
          </cell>
          <cell r="Y500">
            <v>4041.4221606908004</v>
          </cell>
          <cell r="Z500">
            <v>1732.0380688674859</v>
          </cell>
          <cell r="AA500">
            <v>192.44867431860953</v>
          </cell>
          <cell r="AB500">
            <v>23.057832511738386</v>
          </cell>
          <cell r="AC500">
            <v>4</v>
          </cell>
          <cell r="AD500">
            <v>29.083700950977594</v>
          </cell>
          <cell r="AE500">
            <v>46.791777456479714</v>
          </cell>
          <cell r="AF500">
            <v>10.08640850726465</v>
          </cell>
          <cell r="AG500">
            <v>14.255457356934039</v>
          </cell>
          <cell r="AH500" t="str">
            <v>Electricidad</v>
          </cell>
          <cell r="AI500">
            <v>192.44867431860953</v>
          </cell>
          <cell r="AJ500">
            <v>4</v>
          </cell>
          <cell r="AK500">
            <v>48.112168579652383</v>
          </cell>
        </row>
        <row r="501">
          <cell r="A501" t="str">
            <v>C210</v>
          </cell>
          <cell r="B501" t="str">
            <v>COND</v>
          </cell>
          <cell r="C501" t="str">
            <v>WWOMMIM01060203200</v>
          </cell>
          <cell r="D501" t="str">
            <v>VENTANILLA, SANTA ROSA Y MALACAS</v>
          </cell>
          <cell r="E501" t="str">
            <v>SUSTITUCIÓN ACOPLAMIENTO D&gt;40 E D&lt;=80MM</v>
          </cell>
          <cell r="F501" t="str">
            <v>ACTIVIDADES DE RECUPERACIÓN DE UNIONES MECÁNICAS. INCLUYE: DESMONTAJE DEL MOTOR, ELIMINACIÓN DEL ACOPLAMIENTO, LA INSTALACIÓN DE NUEVA ARTICULACIÓN, ALINEACIÓN, PRUEBAS FUNCIÓNALES.</v>
          </cell>
          <cell r="G501" t="str">
            <v>MMIM0100</v>
          </cell>
          <cell r="H501" t="str">
            <v>NUM</v>
          </cell>
          <cell r="I501">
            <v>1</v>
          </cell>
          <cell r="J501">
            <v>31</v>
          </cell>
          <cell r="K501">
            <v>3</v>
          </cell>
          <cell r="L501">
            <v>93</v>
          </cell>
          <cell r="M501" t="str">
            <v>SI</v>
          </cell>
          <cell r="N501">
            <v>4</v>
          </cell>
          <cell r="O501">
            <v>3</v>
          </cell>
          <cell r="P501">
            <v>3</v>
          </cell>
          <cell r="Q501">
            <v>12</v>
          </cell>
          <cell r="R501">
            <v>9</v>
          </cell>
          <cell r="S501">
            <v>9</v>
          </cell>
          <cell r="T501">
            <v>4255.1911102887443</v>
          </cell>
          <cell r="U501">
            <v>4255.1911102887443</v>
          </cell>
          <cell r="V501">
            <v>4255.1911102887443</v>
          </cell>
          <cell r="W501">
            <v>51062.293323464932</v>
          </cell>
          <cell r="X501">
            <v>38296.719992598701</v>
          </cell>
          <cell r="Y501">
            <v>89359.013316063632</v>
          </cell>
          <cell r="Z501">
            <v>38296.719992598701</v>
          </cell>
          <cell r="AA501">
            <v>4255.1911102887443</v>
          </cell>
          <cell r="AB501">
            <v>21.533127692412709</v>
          </cell>
          <cell r="AC501">
            <v>93</v>
          </cell>
          <cell r="AD501">
            <v>657.140878430822</v>
          </cell>
          <cell r="AE501">
            <v>1057.2516129539233</v>
          </cell>
          <cell r="AF501">
            <v>223.01840200674761</v>
          </cell>
          <cell r="AG501">
            <v>315.19934150286997</v>
          </cell>
          <cell r="AH501" t="str">
            <v>Mecánica</v>
          </cell>
          <cell r="AI501">
            <v>4255.1911102887443</v>
          </cell>
          <cell r="AJ501">
            <v>93</v>
          </cell>
          <cell r="AK501">
            <v>45.754743121384351</v>
          </cell>
        </row>
        <row r="502">
          <cell r="A502" t="str">
            <v>C211</v>
          </cell>
          <cell r="B502" t="str">
            <v>COND</v>
          </cell>
          <cell r="C502" t="str">
            <v>WWOMMIM01060203100</v>
          </cell>
          <cell r="D502" t="str">
            <v>VENTANILLA, SANTA ROSA Y MALACAS</v>
          </cell>
          <cell r="E502" t="str">
            <v>SUSTITUCIÓN DE ACOPLAMIENTO D&lt;=40MM</v>
          </cell>
          <cell r="F502" t="str">
            <v>ACTIVIDADES DE RECUPERACIÓN DE UNIONES MECÁNICAS. INCLUYE: DESMONTAJE DEL MOTOR, ELIMINACIÓN DEL ACOPLAMIENTO, LA INSTALACIÓN DE NUEVA ARTICULACIÓN, ALINEACIÓN, PRUEBAS FUNCIÓNALES.</v>
          </cell>
          <cell r="G502" t="str">
            <v>MMIM0100</v>
          </cell>
          <cell r="H502" t="str">
            <v>NUM</v>
          </cell>
          <cell r="I502">
            <v>1</v>
          </cell>
          <cell r="J502">
            <v>25</v>
          </cell>
          <cell r="K502">
            <v>2</v>
          </cell>
          <cell r="L502">
            <v>50</v>
          </cell>
          <cell r="M502" t="str">
            <v>SI</v>
          </cell>
          <cell r="N502">
            <v>4</v>
          </cell>
          <cell r="O502">
            <v>3</v>
          </cell>
          <cell r="P502">
            <v>3</v>
          </cell>
          <cell r="Q502">
            <v>12</v>
          </cell>
          <cell r="R502">
            <v>9</v>
          </cell>
          <cell r="S502">
            <v>9</v>
          </cell>
          <cell r="T502">
            <v>2438.978850243685</v>
          </cell>
          <cell r="U502">
            <v>2438.978850243685</v>
          </cell>
          <cell r="V502">
            <v>2438.978850243685</v>
          </cell>
          <cell r="W502">
            <v>29267.74620292422</v>
          </cell>
          <cell r="X502">
            <v>21950.809652193166</v>
          </cell>
          <cell r="Y502">
            <v>51218.555855117389</v>
          </cell>
          <cell r="Z502">
            <v>21950.809652193166</v>
          </cell>
          <cell r="AA502">
            <v>2438.978850243685</v>
          </cell>
          <cell r="AB502">
            <v>20.77643954685669</v>
          </cell>
          <cell r="AC502">
            <v>50</v>
          </cell>
          <cell r="AD502">
            <v>418.44337537861043</v>
          </cell>
          <cell r="AE502">
            <v>673.21931730273855</v>
          </cell>
          <cell r="AF502">
            <v>127.82908020145099</v>
          </cell>
          <cell r="AG502">
            <v>180.66510001805074</v>
          </cell>
          <cell r="AH502" t="str">
            <v>Mecánica</v>
          </cell>
          <cell r="AI502">
            <v>2438.978850243685</v>
          </cell>
          <cell r="AJ502">
            <v>50</v>
          </cell>
          <cell r="AK502">
            <v>48.779577004873701</v>
          </cell>
        </row>
        <row r="503">
          <cell r="A503" t="str">
            <v>C156</v>
          </cell>
          <cell r="B503" t="str">
            <v>COND</v>
          </cell>
          <cell r="C503" t="str">
            <v>WWOLEII09081400200</v>
          </cell>
          <cell r="D503" t="str">
            <v>VENTANILLA, SANTA ROSA Y MALACAS</v>
          </cell>
          <cell r="E503" t="str">
            <v>REVISIÓN EN TRAFO SECO</v>
          </cell>
          <cell r="F503" t="str">
            <v>ACTIVIDAD PERIODICA DE MANTENIMIENTO SOBRE LOS TRANSFORMADORES EN RESINA MT/BT Y BT/BT. INCLUYE: APERTURA TAPAS SI ESTAN PRESENTE, EXTRACCIÓN DE POLVO Y LIMPIEZA PROFUNDA, COMPROBACIÓN FUNCIÓNALIDAD TERMOPARES Y TERMOELEMENTOS, COMPROBACIÓN ALARMAS Y BLOQUES POR ALTA Y MUY ALTA TEMPERATURA, COMPROBACIÓN VENTILADORES FORZADOS. COMPROBACIÓN APRIETES CON LLAVE DE TORSIÓN. REENSEMBLAJE.</v>
          </cell>
          <cell r="G503" t="str">
            <v>LEII0900</v>
          </cell>
          <cell r="H503" t="str">
            <v>NUM</v>
          </cell>
          <cell r="I503">
            <v>1</v>
          </cell>
          <cell r="J503">
            <v>5</v>
          </cell>
          <cell r="K503">
            <v>3</v>
          </cell>
          <cell r="L503">
            <v>15</v>
          </cell>
          <cell r="M503" t="str">
            <v>NO</v>
          </cell>
          <cell r="N503">
            <v>4</v>
          </cell>
          <cell r="O503">
            <v>3</v>
          </cell>
          <cell r="P503">
            <v>3</v>
          </cell>
          <cell r="Q503">
            <v>12</v>
          </cell>
          <cell r="R503">
            <v>9</v>
          </cell>
          <cell r="S503">
            <v>9</v>
          </cell>
          <cell r="T503">
            <v>713.53167108258322</v>
          </cell>
          <cell r="U503">
            <v>713.53167108258322</v>
          </cell>
          <cell r="V503">
            <v>713.53167108258322</v>
          </cell>
          <cell r="W503">
            <v>8562.3800529909986</v>
          </cell>
          <cell r="X503">
            <v>6421.7850397432485</v>
          </cell>
          <cell r="Y503">
            <v>14984.165092734247</v>
          </cell>
          <cell r="Z503">
            <v>6421.7850397432485</v>
          </cell>
          <cell r="AA503">
            <v>713.53167108258322</v>
          </cell>
          <cell r="AB503">
            <v>22.522865491628615</v>
          </cell>
          <cell r="AC503">
            <v>15</v>
          </cell>
          <cell r="AD503">
            <v>109.41062259864854</v>
          </cell>
          <cell r="AE503">
            <v>176.02703014448267</v>
          </cell>
          <cell r="AF503">
            <v>37.396838107053625</v>
          </cell>
          <cell r="AG503">
            <v>52.854197857969133</v>
          </cell>
          <cell r="AH503" t="str">
            <v>Electricidad</v>
          </cell>
          <cell r="AI503">
            <v>713.53167108258322</v>
          </cell>
          <cell r="AJ503">
            <v>15</v>
          </cell>
          <cell r="AK503">
            <v>47.568778072172215</v>
          </cell>
        </row>
        <row r="504">
          <cell r="A504" t="str">
            <v>P069</v>
          </cell>
          <cell r="B504" t="str">
            <v>PREV</v>
          </cell>
          <cell r="C504" t="str">
            <v>PEOMMIM0100MMLUB06</v>
          </cell>
          <cell r="D504" t="str">
            <v>SANTA ROSA Y MALACAS</v>
          </cell>
          <cell r="E504" t="str">
            <v>LUBRICACION MECANISMOS</v>
          </cell>
          <cell r="F504" t="str">
            <v>ACTIVIDAD INCLUYE MONTAJE DE ANDAMIOS HASTA 4 CUERPOS PARA ACCESO A TECHO, APERTURAS DE TAPAS , LIMPIEZA DE MECANISMO, ENGRASE, PRUEBAS FUNCIONALES Y NORMALIZACION. LIMPIEZA FINAL</v>
          </cell>
          <cell r="G504" t="str">
            <v>MMIM0100</v>
          </cell>
          <cell r="H504" t="str">
            <v>NUM</v>
          </cell>
          <cell r="I504">
            <v>1</v>
          </cell>
          <cell r="J504">
            <v>1</v>
          </cell>
          <cell r="K504">
            <v>2</v>
          </cell>
          <cell r="L504">
            <v>2</v>
          </cell>
          <cell r="M504" t="str">
            <v>SI</v>
          </cell>
          <cell r="N504">
            <v>0</v>
          </cell>
          <cell r="O504">
            <v>13</v>
          </cell>
          <cell r="P504">
            <v>31</v>
          </cell>
          <cell r="Q504">
            <v>0</v>
          </cell>
          <cell r="R504">
            <v>39</v>
          </cell>
          <cell r="S504">
            <v>93</v>
          </cell>
          <cell r="T504"/>
          <cell r="U504">
            <v>100.60679999999999</v>
          </cell>
          <cell r="V504">
            <v>100.60679999999999</v>
          </cell>
          <cell r="W504">
            <v>0</v>
          </cell>
          <cell r="X504">
            <v>3923.6651999999999</v>
          </cell>
          <cell r="Y504">
            <v>3923.6651999999999</v>
          </cell>
          <cell r="Z504">
            <v>9356.4323999999997</v>
          </cell>
          <cell r="AA504">
            <v>100.60679999999999</v>
          </cell>
          <cell r="AB504">
            <v>19.171538486527368</v>
          </cell>
          <cell r="AC504">
            <v>2</v>
          </cell>
          <cell r="AD504">
            <v>17.616240493229238</v>
          </cell>
          <cell r="AE504">
            <v>31.922233896399444</v>
          </cell>
          <cell r="AF504">
            <v>5.2728930817610049</v>
          </cell>
          <cell r="AG504">
            <v>7.4523555555555552</v>
          </cell>
          <cell r="AH504" t="str">
            <v>Mecánica</v>
          </cell>
          <cell r="AI504">
            <v>100.60679999999999</v>
          </cell>
          <cell r="AJ504">
            <v>2</v>
          </cell>
          <cell r="AK504">
            <v>50.303399999999996</v>
          </cell>
        </row>
        <row r="505">
          <cell r="A505" t="str">
            <v>P107</v>
          </cell>
          <cell r="B505" t="str">
            <v>PREV</v>
          </cell>
          <cell r="C505" t="str">
            <v>PEOMMIM01ICCBBOT01</v>
          </cell>
          <cell r="D505" t="str">
            <v>VENTANILLA Y MALACAS</v>
          </cell>
          <cell r="E505" t="str">
            <v xml:space="preserve">CAMBIO DE BOTELLAS DE GASES PATRONES </v>
          </cell>
          <cell r="F505" t="str">
            <v xml:space="preserve">ACTIVIDAD INCLUYE EL RETIRO TRANSPORTE DE BOTELLAS LLENAS Y VACIAS AL ALMACEN DE GAS PATRON DESCONEXION CONEXIÓN CALIBRACION Y PRUEBAS </v>
          </cell>
          <cell r="G505" t="str">
            <v>MMIM01</v>
          </cell>
          <cell r="H505" t="str">
            <v>NUM</v>
          </cell>
          <cell r="I505">
            <v>1</v>
          </cell>
          <cell r="J505">
            <v>2</v>
          </cell>
          <cell r="K505">
            <v>2</v>
          </cell>
          <cell r="L505">
            <v>4</v>
          </cell>
          <cell r="M505" t="str">
            <v>NO</v>
          </cell>
          <cell r="N505">
            <v>8</v>
          </cell>
          <cell r="O505">
            <v>0</v>
          </cell>
          <cell r="P505">
            <v>4</v>
          </cell>
          <cell r="Q505">
            <v>24</v>
          </cell>
          <cell r="R505">
            <v>0</v>
          </cell>
          <cell r="S505">
            <v>12</v>
          </cell>
          <cell r="T505">
            <v>142.03990444631935</v>
          </cell>
          <cell r="U505"/>
          <cell r="V505">
            <v>142.03990444631935</v>
          </cell>
          <cell r="W505">
            <v>3408.9577067116643</v>
          </cell>
          <cell r="X505">
            <v>0</v>
          </cell>
          <cell r="Y505">
            <v>3408.9577067116643</v>
          </cell>
          <cell r="Z505">
            <v>1704.4788533558321</v>
          </cell>
          <cell r="AA505">
            <v>142.03990444631935</v>
          </cell>
          <cell r="AB505">
            <v>23.466564118731693</v>
          </cell>
          <cell r="AC505">
            <v>3</v>
          </cell>
          <cell r="AD505">
            <v>20.573804235967444</v>
          </cell>
          <cell r="AE505">
            <v>33.100494014335865</v>
          </cell>
          <cell r="AF505">
            <v>7.4444394363899029</v>
          </cell>
          <cell r="AG505">
            <v>10.521474403431064</v>
          </cell>
          <cell r="AH505" t="str">
            <v>Instrumentación</v>
          </cell>
          <cell r="AI505">
            <v>142.03990444631935</v>
          </cell>
          <cell r="AJ505">
            <v>4</v>
          </cell>
          <cell r="AK505">
            <v>35.509976111579839</v>
          </cell>
        </row>
        <row r="506">
          <cell r="A506" t="str">
            <v>C077</v>
          </cell>
          <cell r="B506" t="str">
            <v>COND</v>
          </cell>
          <cell r="C506" t="str">
            <v>WWOLEII09080600600</v>
          </cell>
          <cell r="D506" t="str">
            <v>VENTANILLA, SANTA ROSA Y MALACAS</v>
          </cell>
          <cell r="E506" t="str">
            <v>MOTOR (0 -25 KW) BT: REVISIÓN MEC SIMPLE</v>
          </cell>
          <cell r="F506" t="str">
            <v>ACTIVIDAD EN TALLER SOBRE MOTORES ELECTRICOS EN BAJA TENSIÓN. INCLUYE MEDICIÓNES ELECTRICAS, SUSTITUCIÓN BASE DE LAS ABRAZADERAS, SUSTITUCIÓN CAJA ABRAZADERAS, SUSTITUCIÓN REJILLA DE PROTECCIÓN Y VENTILADOR SI DAÑADOS, REENSEMBLAJE.</v>
          </cell>
          <cell r="G506" t="str">
            <v>LEII0900</v>
          </cell>
          <cell r="H506" t="str">
            <v>NUM</v>
          </cell>
          <cell r="I506">
            <v>1</v>
          </cell>
          <cell r="J506">
            <v>4</v>
          </cell>
          <cell r="K506">
            <v>2</v>
          </cell>
          <cell r="L506">
            <v>8</v>
          </cell>
          <cell r="M506" t="str">
            <v>NO</v>
          </cell>
          <cell r="N506">
            <v>4</v>
          </cell>
          <cell r="O506">
            <v>3</v>
          </cell>
          <cell r="P506">
            <v>3</v>
          </cell>
          <cell r="Q506">
            <v>12</v>
          </cell>
          <cell r="R506">
            <v>9</v>
          </cell>
          <cell r="S506">
            <v>9</v>
          </cell>
          <cell r="T506">
            <v>384.89734863721907</v>
          </cell>
          <cell r="U506">
            <v>384.89734863721907</v>
          </cell>
          <cell r="V506">
            <v>384.89734863721907</v>
          </cell>
          <cell r="W506">
            <v>4618.768183646629</v>
          </cell>
          <cell r="X506">
            <v>3464.0761377349718</v>
          </cell>
          <cell r="Y506">
            <v>8082.8443213816008</v>
          </cell>
          <cell r="Z506">
            <v>3464.0761377349718</v>
          </cell>
          <cell r="AA506">
            <v>384.89734863721907</v>
          </cell>
          <cell r="AB506">
            <v>23.057832511738386</v>
          </cell>
          <cell r="AC506">
            <v>8</v>
          </cell>
          <cell r="AD506">
            <v>58.167401901955188</v>
          </cell>
          <cell r="AE506">
            <v>93.583554912959428</v>
          </cell>
          <cell r="AF506">
            <v>20.172817014529301</v>
          </cell>
          <cell r="AG506">
            <v>28.510914713868079</v>
          </cell>
          <cell r="AH506" t="str">
            <v>Electricidad</v>
          </cell>
          <cell r="AI506">
            <v>384.89734863721907</v>
          </cell>
          <cell r="AJ506">
            <v>8</v>
          </cell>
          <cell r="AK506">
            <v>48.112168579652383</v>
          </cell>
        </row>
        <row r="507">
          <cell r="A507" t="str">
            <v>C078</v>
          </cell>
          <cell r="B507" t="str">
            <v>COND</v>
          </cell>
          <cell r="C507" t="str">
            <v>WWOLEII09080601000</v>
          </cell>
          <cell r="D507" t="str">
            <v>VENTANILLA, SANTA ROSA Y MALACAS</v>
          </cell>
          <cell r="E507" t="str">
            <v>MOTOR (120 - 200 KW) MT: REVISIÓN MEC SIMPLE</v>
          </cell>
          <cell r="F507" t="str">
            <v>ACTIVIDAD EN TALLER SOBRE MOTORES ELECTRICOS EN BAJA TENSIÓN. INCLUYE MEDICIÓNES ELECTRICAS, SUSTITUCIÓN BASE DE LAS ABRAZADERAS, SUSTITUCIÓN CAJA ABRAZADERAS, SUSTITUCIÓN REJILLA DE PROTECCIÓN Y VENTILADOR SI DAÑADOS, REENSEMBLAJE.</v>
          </cell>
          <cell r="G507" t="str">
            <v>LEII0900</v>
          </cell>
          <cell r="H507" t="str">
            <v>NUM</v>
          </cell>
          <cell r="I507">
            <v>1</v>
          </cell>
          <cell r="J507">
            <v>6</v>
          </cell>
          <cell r="K507">
            <v>2</v>
          </cell>
          <cell r="L507">
            <v>12</v>
          </cell>
          <cell r="M507" t="str">
            <v>NO</v>
          </cell>
          <cell r="N507">
            <v>4</v>
          </cell>
          <cell r="O507">
            <v>3</v>
          </cell>
          <cell r="P507">
            <v>3</v>
          </cell>
          <cell r="Q507">
            <v>12</v>
          </cell>
          <cell r="R507">
            <v>9</v>
          </cell>
          <cell r="S507">
            <v>9</v>
          </cell>
          <cell r="T507">
            <v>577.3460229558284</v>
          </cell>
          <cell r="U507">
            <v>577.3460229558284</v>
          </cell>
          <cell r="V507">
            <v>577.3460229558284</v>
          </cell>
          <cell r="W507">
            <v>6928.1522754699408</v>
          </cell>
          <cell r="X507">
            <v>5196.1142066024559</v>
          </cell>
          <cell r="Y507">
            <v>12124.266482072397</v>
          </cell>
          <cell r="Z507">
            <v>5196.1142066024559</v>
          </cell>
          <cell r="AA507">
            <v>577.3460229558284</v>
          </cell>
          <cell r="AB507">
            <v>23.057832511738386</v>
          </cell>
          <cell r="AC507">
            <v>12</v>
          </cell>
          <cell r="AD507">
            <v>87.251102852932732</v>
          </cell>
          <cell r="AE507">
            <v>140.37533236943906</v>
          </cell>
          <cell r="AF507">
            <v>30.259225521793944</v>
          </cell>
          <cell r="AG507">
            <v>42.766372070802106</v>
          </cell>
          <cell r="AH507" t="str">
            <v>Electricidad</v>
          </cell>
          <cell r="AI507">
            <v>577.3460229558284</v>
          </cell>
          <cell r="AJ507">
            <v>12</v>
          </cell>
          <cell r="AK507">
            <v>48.112168579652369</v>
          </cell>
        </row>
        <row r="508">
          <cell r="A508" t="str">
            <v>C081</v>
          </cell>
          <cell r="B508" t="str">
            <v>COND</v>
          </cell>
          <cell r="C508" t="str">
            <v>WWOLEII09080600700</v>
          </cell>
          <cell r="D508" t="str">
            <v>VENTANILLA, SANTA ROSA Y MALACAS</v>
          </cell>
          <cell r="E508" t="str">
            <v>MOTOR (25-50 KW) BT: REVISIÓN MEC SIMPLE</v>
          </cell>
          <cell r="F508" t="str">
            <v>ACTIVIDAD EN TALLER SOBRE MOTORES ELECTRICOS EN BAJA TENSIÓN. INCLUYE MEDICIÓNES ELECTRICAS, SUSTITUCIÓN BASE DE LAS ABRAZADERAS, SUSTITUCIÓN CAJA ABRAZADERAS, SUSTITUCIÓN REJILLA DE PROTECCIÓN Y VENTILADOR SI DAÑADOS, REENSEMBLAJE.</v>
          </cell>
          <cell r="G508" t="str">
            <v>LEII0900</v>
          </cell>
          <cell r="H508" t="str">
            <v>NUM</v>
          </cell>
          <cell r="I508">
            <v>1</v>
          </cell>
          <cell r="J508">
            <v>4</v>
          </cell>
          <cell r="K508">
            <v>2</v>
          </cell>
          <cell r="L508">
            <v>8</v>
          </cell>
          <cell r="M508" t="str">
            <v>NO</v>
          </cell>
          <cell r="N508">
            <v>4</v>
          </cell>
          <cell r="O508">
            <v>3</v>
          </cell>
          <cell r="P508">
            <v>3</v>
          </cell>
          <cell r="Q508">
            <v>12</v>
          </cell>
          <cell r="R508">
            <v>9</v>
          </cell>
          <cell r="S508">
            <v>9</v>
          </cell>
          <cell r="T508">
            <v>384.89734863721907</v>
          </cell>
          <cell r="U508">
            <v>384.89734863721907</v>
          </cell>
          <cell r="V508">
            <v>384.89734863721907</v>
          </cell>
          <cell r="W508">
            <v>4618.768183646629</v>
          </cell>
          <cell r="X508">
            <v>3464.0761377349718</v>
          </cell>
          <cell r="Y508">
            <v>8082.8443213816008</v>
          </cell>
          <cell r="Z508">
            <v>3464.0761377349718</v>
          </cell>
          <cell r="AA508">
            <v>384.89734863721907</v>
          </cell>
          <cell r="AB508">
            <v>23.057832511738386</v>
          </cell>
          <cell r="AC508">
            <v>8</v>
          </cell>
          <cell r="AD508">
            <v>58.167401901955188</v>
          </cell>
          <cell r="AE508">
            <v>93.583554912959428</v>
          </cell>
          <cell r="AF508">
            <v>20.172817014529301</v>
          </cell>
          <cell r="AG508">
            <v>28.510914713868079</v>
          </cell>
          <cell r="AH508" t="str">
            <v>Electricidad</v>
          </cell>
          <cell r="AI508">
            <v>384.89734863721907</v>
          </cell>
          <cell r="AJ508">
            <v>8</v>
          </cell>
          <cell r="AK508">
            <v>48.112168579652383</v>
          </cell>
        </row>
        <row r="509">
          <cell r="A509" t="str">
            <v>C083</v>
          </cell>
          <cell r="B509" t="str">
            <v>COND</v>
          </cell>
          <cell r="C509" t="str">
            <v>WWOLEII09080600800</v>
          </cell>
          <cell r="D509" t="str">
            <v>VENTANILLA, SANTA ROSA Y MALACAS</v>
          </cell>
          <cell r="E509" t="str">
            <v>MOTOR (50-75 KW) BT: REVISIÓN MEC SIMPLE</v>
          </cell>
          <cell r="F509" t="str">
            <v>ACTIVIDAD EN TALLER SOBRE MOTORES ELECTRICOS EN BAJA TENSIÓN. INCLUYE MEDICIÓNES ELECTRICAS, SUSTITUCIÓN BASE DE LAS ABRAZADERAS, SUSTITUCIÓN CAJA ABRAZADERAS, SUSTITUCIÓN REJILLA DE PROTECCIÓN Y VENTILADOR SI DAÑADOS, REENSEMBLAJE.</v>
          </cell>
          <cell r="G509" t="str">
            <v>LEII0900</v>
          </cell>
          <cell r="H509" t="str">
            <v>NUM</v>
          </cell>
          <cell r="I509">
            <v>1</v>
          </cell>
          <cell r="J509">
            <v>6</v>
          </cell>
          <cell r="K509">
            <v>2</v>
          </cell>
          <cell r="L509">
            <v>12</v>
          </cell>
          <cell r="M509" t="str">
            <v>NO</v>
          </cell>
          <cell r="N509">
            <v>4</v>
          </cell>
          <cell r="O509">
            <v>3</v>
          </cell>
          <cell r="P509">
            <v>3</v>
          </cell>
          <cell r="Q509">
            <v>12</v>
          </cell>
          <cell r="R509">
            <v>9</v>
          </cell>
          <cell r="S509">
            <v>9</v>
          </cell>
          <cell r="T509">
            <v>577.3460229558284</v>
          </cell>
          <cell r="U509">
            <v>577.3460229558284</v>
          </cell>
          <cell r="V509">
            <v>577.3460229558284</v>
          </cell>
          <cell r="W509">
            <v>6928.1522754699408</v>
          </cell>
          <cell r="X509">
            <v>5196.1142066024559</v>
          </cell>
          <cell r="Y509">
            <v>12124.266482072397</v>
          </cell>
          <cell r="Z509">
            <v>5196.1142066024559</v>
          </cell>
          <cell r="AA509">
            <v>577.3460229558284</v>
          </cell>
          <cell r="AB509">
            <v>23.057832511738386</v>
          </cell>
          <cell r="AC509">
            <v>12</v>
          </cell>
          <cell r="AD509">
            <v>87.251102852932732</v>
          </cell>
          <cell r="AE509">
            <v>140.37533236943906</v>
          </cell>
          <cell r="AF509">
            <v>30.259225521793944</v>
          </cell>
          <cell r="AG509">
            <v>42.766372070802106</v>
          </cell>
          <cell r="AH509" t="str">
            <v>Electricidad</v>
          </cell>
          <cell r="AI509">
            <v>577.3460229558284</v>
          </cell>
          <cell r="AJ509">
            <v>12</v>
          </cell>
          <cell r="AK509">
            <v>48.112168579652369</v>
          </cell>
        </row>
        <row r="510">
          <cell r="A510" t="str">
            <v>C085</v>
          </cell>
          <cell r="B510" t="str">
            <v>COND</v>
          </cell>
          <cell r="C510" t="str">
            <v>WWOLEII09080600900</v>
          </cell>
          <cell r="D510" t="str">
            <v>VENTANILLA, SANTA ROSA Y MALACAS</v>
          </cell>
          <cell r="E510" t="str">
            <v>MOTOR (75-120KW) BT: REVISIÓN MEC SIMPLE</v>
          </cell>
          <cell r="F510" t="str">
            <v>ACTIVIDAD EN TALLER SOBRE MOTORES ELECTRICOS EN BAJA TENSIÓN. INCLUYE MEDICIÓNES ELECTRICAS, SUSTITUCIÓN BASE DE LAS ABRAZADERAS, SUSTITUCIÓN CAJA ABRAZADERAS, SUSTITUCIÓN REJILLA DE PROTECCIÓN Y VENTILADOR SI DAÑADOS, REENSEMBLAJE.</v>
          </cell>
          <cell r="G510" t="str">
            <v>LEII0900</v>
          </cell>
          <cell r="H510" t="str">
            <v>NUM</v>
          </cell>
          <cell r="I510">
            <v>1</v>
          </cell>
          <cell r="J510">
            <v>6</v>
          </cell>
          <cell r="K510">
            <v>2</v>
          </cell>
          <cell r="L510">
            <v>12</v>
          </cell>
          <cell r="M510" t="str">
            <v>NO</v>
          </cell>
          <cell r="N510">
            <v>4</v>
          </cell>
          <cell r="O510">
            <v>3</v>
          </cell>
          <cell r="P510">
            <v>3</v>
          </cell>
          <cell r="Q510">
            <v>12</v>
          </cell>
          <cell r="R510">
            <v>9</v>
          </cell>
          <cell r="S510">
            <v>9</v>
          </cell>
          <cell r="T510">
            <v>577.34602295582829</v>
          </cell>
          <cell r="U510">
            <v>577.34602295582829</v>
          </cell>
          <cell r="V510">
            <v>577.34602295582829</v>
          </cell>
          <cell r="W510">
            <v>6928.1522754699399</v>
          </cell>
          <cell r="X510">
            <v>5196.1142066024549</v>
          </cell>
          <cell r="Y510">
            <v>12124.266482072395</v>
          </cell>
          <cell r="Z510">
            <v>5196.1142066024549</v>
          </cell>
          <cell r="AA510">
            <v>577.34602295582829</v>
          </cell>
          <cell r="AB510">
            <v>23.057832511738386</v>
          </cell>
          <cell r="AC510">
            <v>12</v>
          </cell>
          <cell r="AD510">
            <v>87.251102852932675</v>
          </cell>
          <cell r="AE510">
            <v>140.37533236943898</v>
          </cell>
          <cell r="AF510">
            <v>30.259225521793937</v>
          </cell>
          <cell r="AG510">
            <v>42.766372070802099</v>
          </cell>
          <cell r="AH510" t="str">
            <v>Electricidad</v>
          </cell>
          <cell r="AI510">
            <v>577.34602295582829</v>
          </cell>
          <cell r="AJ510">
            <v>12</v>
          </cell>
          <cell r="AK510">
            <v>48.112168579652355</v>
          </cell>
        </row>
        <row r="511">
          <cell r="A511" t="str">
            <v>C010</v>
          </cell>
          <cell r="B511" t="str">
            <v>COND</v>
          </cell>
          <cell r="C511" t="str">
            <v>WWOLEII09080100800</v>
          </cell>
          <cell r="D511" t="str">
            <v>VENTANILLA, SANTA ROSA Y MALACAS</v>
          </cell>
          <cell r="E511" t="str">
            <v>REVISIÓN COMPLETA ACTUADOR &lt;=4 IN</v>
          </cell>
          <cell r="F511" t="str">
            <v>ACTIVIDAD DE TALLER. LA ACTIVIDAD INCLUYE EL DESMONTAJE COMPLETO DEL ACTUADOR HIDRAULICO O NEUMATICO Y LA REVISIÓN COMPLETA DE LAS PARTES INTERANS, SUSTITUCIÓN DE LAS PARTES DE DESGASTE Y/O DAÑADAS, LIMPIEZA Y ENGRASAJE. INCLUYE PRUEBA HIDRAULICA DEL ACTUADOR. ACTUADOR PARA VÁLVULAS HASTA 4 PULGADAS.</v>
          </cell>
          <cell r="G511" t="str">
            <v>LEII0900</v>
          </cell>
          <cell r="H511" t="str">
            <v>NUM</v>
          </cell>
          <cell r="I511">
            <v>1</v>
          </cell>
          <cell r="J511">
            <v>8</v>
          </cell>
          <cell r="K511">
            <v>2</v>
          </cell>
          <cell r="L511">
            <v>16</v>
          </cell>
          <cell r="M511" t="str">
            <v>NO</v>
          </cell>
          <cell r="N511">
            <v>4</v>
          </cell>
          <cell r="O511">
            <v>3</v>
          </cell>
          <cell r="P511">
            <v>3</v>
          </cell>
          <cell r="Q511">
            <v>12</v>
          </cell>
          <cell r="R511">
            <v>9</v>
          </cell>
          <cell r="S511">
            <v>9</v>
          </cell>
          <cell r="T511">
            <v>795.4463999999997</v>
          </cell>
          <cell r="U511">
            <v>795.4463999999997</v>
          </cell>
          <cell r="V511">
            <v>795.4463999999997</v>
          </cell>
          <cell r="W511">
            <v>9545.3567999999959</v>
          </cell>
          <cell r="X511">
            <v>7159.0175999999974</v>
          </cell>
          <cell r="Y511">
            <v>16704.374399999993</v>
          </cell>
          <cell r="Z511">
            <v>7159.0175999999974</v>
          </cell>
          <cell r="AA511">
            <v>795.4463999999997</v>
          </cell>
          <cell r="AB511">
            <v>22.389027306507995</v>
          </cell>
          <cell r="AC511">
            <v>16</v>
          </cell>
          <cell r="AD511">
            <v>129.0253870252119</v>
          </cell>
          <cell r="AE511">
            <v>207.58455762202254</v>
          </cell>
          <cell r="AF511">
            <v>41.690062893081745</v>
          </cell>
          <cell r="AG511">
            <v>58.921955555555535</v>
          </cell>
          <cell r="AH511" t="str">
            <v>Instrumentación</v>
          </cell>
          <cell r="AI511">
            <v>795.4463999999997</v>
          </cell>
          <cell r="AJ511">
            <v>16</v>
          </cell>
          <cell r="AK511">
            <v>49.715399999999981</v>
          </cell>
        </row>
        <row r="512">
          <cell r="A512" t="str">
            <v>C011</v>
          </cell>
          <cell r="B512" t="str">
            <v>COND</v>
          </cell>
          <cell r="C512" t="str">
            <v>WWOLEII09080100900</v>
          </cell>
          <cell r="D512" t="str">
            <v>VENTANILLA, SANTA ROSA Y MALACAS</v>
          </cell>
          <cell r="E512" t="str">
            <v>REVISIÓN COMPLETA ACTUADOR &gt; 4 Y &lt;8 IN</v>
          </cell>
          <cell r="F512" t="str">
            <v>ACTIVIDAD DE TALLER. LA ACTIVIDAD INCLUYE EL DESMONTAJE COMPLETO DEL ACTUADOR HIDRAULICO O NEUMATICO Y LA REVISIÓN COMPLETA DE LAS PARTES INTERANS, SUSTITUCIÓN DE LAS PARTES DE DESGASTE Y/O DAÑADAS, LIMPIEZA Y ENGRASAJE. INCLUYE PRUEBA HIDRAULICA DEL ACTUADOR. ACTUADOR PARA VÁLVULAS MAYORES DE 4 HASTA 8 PULGADAS.</v>
          </cell>
          <cell r="G512" t="str">
            <v>LEII0900</v>
          </cell>
          <cell r="H512" t="str">
            <v>NUM</v>
          </cell>
          <cell r="I512">
            <v>1</v>
          </cell>
          <cell r="J512">
            <v>9</v>
          </cell>
          <cell r="K512">
            <v>2</v>
          </cell>
          <cell r="L512">
            <v>18</v>
          </cell>
          <cell r="M512" t="str">
            <v>NO</v>
          </cell>
          <cell r="N512">
            <v>4</v>
          </cell>
          <cell r="O512">
            <v>3</v>
          </cell>
          <cell r="P512">
            <v>3</v>
          </cell>
          <cell r="Q512">
            <v>12</v>
          </cell>
          <cell r="R512">
            <v>9</v>
          </cell>
          <cell r="S512">
            <v>9</v>
          </cell>
          <cell r="T512">
            <v>894.87720000000013</v>
          </cell>
          <cell r="U512">
            <v>894.87720000000013</v>
          </cell>
          <cell r="V512">
            <v>894.87720000000013</v>
          </cell>
          <cell r="W512">
            <v>10738.526400000002</v>
          </cell>
          <cell r="X512">
            <v>8053.8948000000009</v>
          </cell>
          <cell r="Y512">
            <v>18792.421200000004</v>
          </cell>
          <cell r="Z512">
            <v>8053.8948000000009</v>
          </cell>
          <cell r="AA512">
            <v>894.87720000000013</v>
          </cell>
          <cell r="AB512">
            <v>22.389027306507995</v>
          </cell>
          <cell r="AC512">
            <v>18</v>
          </cell>
          <cell r="AD512">
            <v>145.15356040336357</v>
          </cell>
          <cell r="AE512">
            <v>233.53262732477569</v>
          </cell>
          <cell r="AF512">
            <v>46.901320754716991</v>
          </cell>
          <cell r="AG512">
            <v>66.287200000000013</v>
          </cell>
          <cell r="AH512" t="str">
            <v>Instrumentación</v>
          </cell>
          <cell r="AI512">
            <v>894.87720000000013</v>
          </cell>
          <cell r="AJ512">
            <v>18</v>
          </cell>
          <cell r="AK512">
            <v>49.71540000000001</v>
          </cell>
        </row>
        <row r="513">
          <cell r="A513" t="str">
            <v>C012</v>
          </cell>
          <cell r="B513" t="str">
            <v>COND</v>
          </cell>
          <cell r="C513" t="str">
            <v>WWOLEII09080101000</v>
          </cell>
          <cell r="D513" t="str">
            <v>VENTANILLA, SANTA ROSA Y MALACAS</v>
          </cell>
          <cell r="E513" t="str">
            <v>REVISIÓN COMPLETA DE ACTUADOR &gt;8 IN</v>
          </cell>
          <cell r="F513" t="str">
            <v>ACTIVIDAD DE TALLER. LA ACTIVIDAD INCLUYE EL DESMONTAJE COMPLETO DEL ACTUADOR HIDRAULICO O NEUMATICO Y LA REVISIÓN COMPLETA DE LAS PARTES INTERANS, SUSTITUCIÓN DE LAS PARTES DE DESGASTE Y/O DAÑADAS, LIMPIEZA Y ENGRASAJE. INCLUYE PRUEBA HIDRAULICA DEL ACTUADOR. ACTUADOR PARA VÁLVULAS MAYORES DE 8 PULGADAS.</v>
          </cell>
          <cell r="G513" t="str">
            <v>LEII0900</v>
          </cell>
          <cell r="H513" t="str">
            <v>NUM</v>
          </cell>
          <cell r="I513">
            <v>1</v>
          </cell>
          <cell r="J513">
            <v>11</v>
          </cell>
          <cell r="K513">
            <v>2</v>
          </cell>
          <cell r="L513">
            <v>22</v>
          </cell>
          <cell r="M513" t="str">
            <v>NO</v>
          </cell>
          <cell r="N513">
            <v>4</v>
          </cell>
          <cell r="O513">
            <v>3</v>
          </cell>
          <cell r="P513">
            <v>3</v>
          </cell>
          <cell r="Q513">
            <v>12</v>
          </cell>
          <cell r="R513">
            <v>9</v>
          </cell>
          <cell r="S513">
            <v>9</v>
          </cell>
          <cell r="T513">
            <v>1093.7387999999994</v>
          </cell>
          <cell r="U513">
            <v>1093.7387999999994</v>
          </cell>
          <cell r="V513">
            <v>1093.7387999999994</v>
          </cell>
          <cell r="W513">
            <v>13124.865599999994</v>
          </cell>
          <cell r="X513">
            <v>9843.6491999999944</v>
          </cell>
          <cell r="Y513">
            <v>22968.51479999999</v>
          </cell>
          <cell r="Z513">
            <v>9843.6491999999944</v>
          </cell>
          <cell r="AA513">
            <v>1093.7387999999994</v>
          </cell>
          <cell r="AB513">
            <v>22.389027306507995</v>
          </cell>
          <cell r="AC513">
            <v>22</v>
          </cell>
          <cell r="AD513">
            <v>177.40990715966635</v>
          </cell>
          <cell r="AE513">
            <v>285.42876673028098</v>
          </cell>
          <cell r="AF513">
            <v>57.323836477987392</v>
          </cell>
          <cell r="AG513">
            <v>81.017688888888856</v>
          </cell>
          <cell r="AH513" t="str">
            <v>Instrumentación</v>
          </cell>
          <cell r="AI513">
            <v>1093.7387999999994</v>
          </cell>
          <cell r="AJ513">
            <v>22</v>
          </cell>
          <cell r="AK513">
            <v>49.715399999999974</v>
          </cell>
        </row>
        <row r="514">
          <cell r="A514" t="str">
            <v>C054</v>
          </cell>
          <cell r="B514" t="str">
            <v>COND</v>
          </cell>
          <cell r="C514" t="str">
            <v>WWOLEII09080300400</v>
          </cell>
          <cell r="D514" t="str">
            <v>VENTANILLA, SANTA ROSA Y MALACAS</v>
          </cell>
          <cell r="E514" t="str">
            <v>REEMPLAZO MANIFOLD DE PROCESO</v>
          </cell>
          <cell r="F514" t="str">
            <v>ACTIVIDAD DE SUSTITUCIÓN DE MANIFOLD DE CONEXIÓN DE INSTRUMENTACIÓN DE PROCESO. INCLUYE LA DESCONEXION COMPLETA AL INSTRUMENTO Y AL PROCESO. CONTABILIZACIÓN: 40% DESMONTAJE, 60% REMONTAJE.</v>
          </cell>
          <cell r="G514" t="str">
            <v>LEII0900</v>
          </cell>
          <cell r="H514" t="str">
            <v>NUM</v>
          </cell>
          <cell r="I514">
            <v>1</v>
          </cell>
          <cell r="J514">
            <v>4</v>
          </cell>
          <cell r="K514">
            <v>2</v>
          </cell>
          <cell r="L514">
            <v>8</v>
          </cell>
          <cell r="M514" t="str">
            <v>NO</v>
          </cell>
          <cell r="N514">
            <v>4</v>
          </cell>
          <cell r="O514">
            <v>3</v>
          </cell>
          <cell r="P514">
            <v>3</v>
          </cell>
          <cell r="Q514">
            <v>12</v>
          </cell>
          <cell r="R514">
            <v>9</v>
          </cell>
          <cell r="S514">
            <v>9</v>
          </cell>
          <cell r="T514">
            <v>378.77307852351828</v>
          </cell>
          <cell r="U514">
            <v>378.77307852351828</v>
          </cell>
          <cell r="V514">
            <v>378.77307852351828</v>
          </cell>
          <cell r="W514">
            <v>4545.2769422822194</v>
          </cell>
          <cell r="X514">
            <v>3408.9577067116643</v>
          </cell>
          <cell r="Y514">
            <v>7954.2346489938836</v>
          </cell>
          <cell r="Z514">
            <v>3408.9577067116643</v>
          </cell>
          <cell r="AA514">
            <v>378.77307852351828</v>
          </cell>
          <cell r="AB514">
            <v>23.466564118731693</v>
          </cell>
          <cell r="AC514">
            <v>8</v>
          </cell>
          <cell r="AD514">
            <v>54.863477962579836</v>
          </cell>
          <cell r="AE514">
            <v>88.26798403822896</v>
          </cell>
          <cell r="AF514">
            <v>19.85183849703974</v>
          </cell>
          <cell r="AG514">
            <v>28.057265075816169</v>
          </cell>
          <cell r="AH514" t="str">
            <v>Instrumentación</v>
          </cell>
          <cell r="AI514">
            <v>378.77307852351828</v>
          </cell>
          <cell r="AJ514">
            <v>8</v>
          </cell>
          <cell r="AK514">
            <v>47.346634815439785</v>
          </cell>
        </row>
        <row r="515">
          <cell r="A515" t="str">
            <v>C162</v>
          </cell>
          <cell r="B515" t="str">
            <v>COND</v>
          </cell>
          <cell r="C515" t="str">
            <v>WWOLEII09082100100</v>
          </cell>
          <cell r="D515" t="str">
            <v>VENTANILLA, SANTA ROSA Y MALACAS</v>
          </cell>
          <cell r="E515" t="str">
            <v>CAMBIO DE BOTELLA CROMATOGRAFO ERM</v>
          </cell>
          <cell r="F515" t="str">
            <v>ACTIVIDAD DE SUSTITUCIÓN DE LAS BOTELLAS DEL SISTEMA CROMATOGRAFO ERM. INCLUYE EL TRANSPORTE DESDE/HASTA EL ALMACEN Y REALIZACIÓN DE LA CONEXION GAS.</v>
          </cell>
          <cell r="G515" t="str">
            <v>LEII0900</v>
          </cell>
          <cell r="H515" t="str">
            <v>NUM</v>
          </cell>
          <cell r="I515">
            <v>1</v>
          </cell>
          <cell r="J515">
            <v>3</v>
          </cell>
          <cell r="K515">
            <v>2</v>
          </cell>
          <cell r="L515">
            <v>6</v>
          </cell>
          <cell r="M515" t="str">
            <v>NO</v>
          </cell>
          <cell r="N515">
            <v>4</v>
          </cell>
          <cell r="O515">
            <v>3</v>
          </cell>
          <cell r="P515">
            <v>3</v>
          </cell>
          <cell r="Q515">
            <v>12</v>
          </cell>
          <cell r="R515">
            <v>9</v>
          </cell>
          <cell r="S515">
            <v>9</v>
          </cell>
          <cell r="T515">
            <v>284.07980889263871</v>
          </cell>
          <cell r="U515">
            <v>284.07980889263871</v>
          </cell>
          <cell r="V515">
            <v>284.07980889263871</v>
          </cell>
          <cell r="W515">
            <v>3408.9577067116643</v>
          </cell>
          <cell r="X515">
            <v>2556.7182800337482</v>
          </cell>
          <cell r="Y515">
            <v>5965.675986745413</v>
          </cell>
          <cell r="Z515">
            <v>2556.7182800337482</v>
          </cell>
          <cell r="AA515">
            <v>284.07980889263871</v>
          </cell>
          <cell r="AB515">
            <v>23.466564118731693</v>
          </cell>
          <cell r="AC515">
            <v>6</v>
          </cell>
          <cell r="AD515">
            <v>41.14760847193488</v>
          </cell>
          <cell r="AE515">
            <v>66.20098802867173</v>
          </cell>
          <cell r="AF515">
            <v>14.888878872779806</v>
          </cell>
          <cell r="AG515">
            <v>21.042948806862128</v>
          </cell>
          <cell r="AH515" t="str">
            <v>Instrumentación</v>
          </cell>
          <cell r="AI515">
            <v>284.07980889263871</v>
          </cell>
          <cell r="AJ515">
            <v>6</v>
          </cell>
          <cell r="AK515">
            <v>47.346634815439785</v>
          </cell>
        </row>
        <row r="516">
          <cell r="A516" t="str">
            <v>C020</v>
          </cell>
          <cell r="B516" t="str">
            <v>COND</v>
          </cell>
          <cell r="C516" t="str">
            <v>WWOLEII09080200900</v>
          </cell>
          <cell r="D516" t="str">
            <v>VENTANILLA, SANTA ROSA Y MALACAS</v>
          </cell>
          <cell r="E516" t="str">
            <v>REVISIÓN COMPLETA ACTUADOR&gt;8 IN</v>
          </cell>
          <cell r="F516" t="str">
            <v>ACTIVIDAD DE REVISIÓN COMPLETA EN TALLER DE ACTUADOR PARA VÁLVULAS MAYORES DE 8 PULGADAS. LA ACTIVIDAD NO INCLUYE DESMONTAJE Y REMONTAJE DESDE LA INSTALACIÓN. INCLUYE EL DESMONTAJE COMPLETO DEL ACTUADOR, LIMPIEZA DE PARTES INTERNAS, ENGRASAJE, SUSTITUCIÓN COMPONENTES DAÑADOS O DESGASTADOS (COJINETES, ENGRANAJES, ECT.), SUSTITUCIÓN PIEZAS CONSUMIBLES (O-RING, JUNTAS), REVISIÓN PARTE ELECTRICA, PRUEBAS FUNCIÓNALES A BANCO.</v>
          </cell>
          <cell r="G516" t="str">
            <v>LEII0900</v>
          </cell>
          <cell r="H516" t="str">
            <v>NUM</v>
          </cell>
          <cell r="I516">
            <v>1</v>
          </cell>
          <cell r="J516">
            <v>8</v>
          </cell>
          <cell r="K516">
            <v>2</v>
          </cell>
          <cell r="L516">
            <v>16</v>
          </cell>
          <cell r="M516" t="str">
            <v>NO</v>
          </cell>
          <cell r="N516">
            <v>4</v>
          </cell>
          <cell r="O516">
            <v>3</v>
          </cell>
          <cell r="P516">
            <v>3</v>
          </cell>
          <cell r="Q516">
            <v>12</v>
          </cell>
          <cell r="R516">
            <v>9</v>
          </cell>
          <cell r="S516">
            <v>9</v>
          </cell>
          <cell r="T516">
            <v>795.44640000000004</v>
          </cell>
          <cell r="U516">
            <v>795.44640000000004</v>
          </cell>
          <cell r="V516">
            <v>795.44640000000004</v>
          </cell>
          <cell r="W516">
            <v>9545.3568000000014</v>
          </cell>
          <cell r="X516">
            <v>7159.0176000000001</v>
          </cell>
          <cell r="Y516">
            <v>16704.374400000001</v>
          </cell>
          <cell r="Z516">
            <v>7159.0176000000001</v>
          </cell>
          <cell r="AA516">
            <v>795.44640000000004</v>
          </cell>
          <cell r="AB516">
            <v>22.389027306507995</v>
          </cell>
          <cell r="AC516">
            <v>16</v>
          </cell>
          <cell r="AD516">
            <v>129.02538702521204</v>
          </cell>
          <cell r="AE516">
            <v>207.5845576220228</v>
          </cell>
          <cell r="AF516">
            <v>41.690062893081766</v>
          </cell>
          <cell r="AG516">
            <v>58.921955555555563</v>
          </cell>
          <cell r="AH516" t="str">
            <v>Instrumentación</v>
          </cell>
          <cell r="AI516">
            <v>795.44640000000004</v>
          </cell>
          <cell r="AJ516">
            <v>16</v>
          </cell>
          <cell r="AK516">
            <v>49.715400000000002</v>
          </cell>
        </row>
        <row r="517">
          <cell r="A517" t="str">
            <v>C018</v>
          </cell>
          <cell r="B517" t="str">
            <v>COND</v>
          </cell>
          <cell r="C517" t="str">
            <v>WWOLEII09080200800</v>
          </cell>
          <cell r="D517" t="str">
            <v>VENTANILLA, SANTA ROSA Y MALACAS</v>
          </cell>
          <cell r="E517" t="str">
            <v>REVISIÓN COMPLETA ACTUADOR &gt;4 Y &lt;8 IN</v>
          </cell>
          <cell r="F517" t="str">
            <v>ACTIVIDAD DE REVISIÓN COMPLETA EN TALLER DE ACTUADOR PARA VÁLVULAS MAYORES DE 4 HASTA 8 PULGADAS. LA ACTIVIDAD NO INCLUYE DESMONTAJE Y REMONTAJE DESDE LA INSTALACIÓN. INCLUYE EL DESMONTAJE COMPLETO DEL ACTUADOR, LIMPIEZA DE PARTES INTERNAS, ENGRASAJE, SUSTITUCIÓN COMPONENTES DAÑADOS O DESGASTADOS (COJINETES, ENGRANAJES, ECT.), SUSTITUCIÓN PIEZAS CONSUMIBLES (O-RING, JUNTAS), REVISIÓN PARTE ELECTRICA, PRUEBAS FUNCIÓNALES A BANCO.</v>
          </cell>
          <cell r="G517" t="str">
            <v>LEII0900</v>
          </cell>
          <cell r="H517" t="str">
            <v>NUM</v>
          </cell>
          <cell r="I517">
            <v>1</v>
          </cell>
          <cell r="J517">
            <v>9</v>
          </cell>
          <cell r="K517">
            <v>2</v>
          </cell>
          <cell r="L517">
            <v>18</v>
          </cell>
          <cell r="M517" t="str">
            <v>NO</v>
          </cell>
          <cell r="N517">
            <v>4</v>
          </cell>
          <cell r="O517">
            <v>3</v>
          </cell>
          <cell r="P517">
            <v>3</v>
          </cell>
          <cell r="Q517">
            <v>12</v>
          </cell>
          <cell r="R517">
            <v>9</v>
          </cell>
          <cell r="S517">
            <v>9</v>
          </cell>
          <cell r="T517">
            <v>894.87720000000013</v>
          </cell>
          <cell r="U517">
            <v>894.87720000000013</v>
          </cell>
          <cell r="V517">
            <v>894.87720000000013</v>
          </cell>
          <cell r="W517">
            <v>10738.526400000002</v>
          </cell>
          <cell r="X517">
            <v>8053.8948000000009</v>
          </cell>
          <cell r="Y517">
            <v>18792.421200000004</v>
          </cell>
          <cell r="Z517">
            <v>8053.8948000000009</v>
          </cell>
          <cell r="AA517">
            <v>894.87720000000013</v>
          </cell>
          <cell r="AB517">
            <v>22.389027306507995</v>
          </cell>
          <cell r="AC517">
            <v>18</v>
          </cell>
          <cell r="AD517">
            <v>145.15356040336357</v>
          </cell>
          <cell r="AE517">
            <v>233.53262732477569</v>
          </cell>
          <cell r="AF517">
            <v>46.901320754716991</v>
          </cell>
          <cell r="AG517">
            <v>66.287200000000013</v>
          </cell>
          <cell r="AH517" t="str">
            <v>Instrumentación</v>
          </cell>
          <cell r="AI517">
            <v>894.87720000000013</v>
          </cell>
          <cell r="AJ517">
            <v>18</v>
          </cell>
          <cell r="AK517">
            <v>49.71540000000001</v>
          </cell>
        </row>
        <row r="518">
          <cell r="A518" t="str">
            <v>C019</v>
          </cell>
          <cell r="B518" t="str">
            <v>COND</v>
          </cell>
          <cell r="C518" t="str">
            <v>WWOLEII09080200700</v>
          </cell>
          <cell r="D518" t="str">
            <v>VENTANILLA, SANTA ROSA Y MALACAS</v>
          </cell>
          <cell r="E518" t="str">
            <v>REVISIÓN COMPLETA ACTUADOR&lt;=4 IN</v>
          </cell>
          <cell r="F518" t="str">
            <v>ACTIVIDAD DE REVISIÓN COMPLETA EN TALLER DE ACTUADOR PARA VÁLVULAS HASTA 4 PULGADAS. LA ACTIVIDAD NO INCLUYE DESMONTAJE Y REMONTAJE DESDE LA INSTALACIÓN. INCLUYE EL DESMONTAJE COMPLETO DEL ACTUADOR, LIMPIEZA DE PARTES INTERNAS, ENGRASAJE, SUSTITUCIÓN COMPONENTES DAÑADOS O DESGASTADOS (COJINETES, ENGRANAJES, ECT.), SUSTITUCIÓN PIEZAS CONSUMIBLES (O-RING, JUNTAS), REVISIÓN PARTE ELECTRICA, PRUEBAS FUNCIÓNALES A BANCO.</v>
          </cell>
          <cell r="G518" t="str">
            <v>LEII0900</v>
          </cell>
          <cell r="H518" t="str">
            <v>NUM</v>
          </cell>
          <cell r="I518">
            <v>1</v>
          </cell>
          <cell r="J518">
            <v>4</v>
          </cell>
          <cell r="K518">
            <v>2</v>
          </cell>
          <cell r="L518">
            <v>8</v>
          </cell>
          <cell r="M518" t="str">
            <v>NO</v>
          </cell>
          <cell r="N518">
            <v>4</v>
          </cell>
          <cell r="O518">
            <v>3</v>
          </cell>
          <cell r="P518">
            <v>3</v>
          </cell>
          <cell r="Q518">
            <v>12</v>
          </cell>
          <cell r="R518">
            <v>9</v>
          </cell>
          <cell r="S518">
            <v>9</v>
          </cell>
          <cell r="T518">
            <v>397.72319999999991</v>
          </cell>
          <cell r="U518">
            <v>397.72319999999991</v>
          </cell>
          <cell r="V518">
            <v>397.72319999999991</v>
          </cell>
          <cell r="W518">
            <v>4772.6783999999989</v>
          </cell>
          <cell r="X518">
            <v>3579.5087999999992</v>
          </cell>
          <cell r="Y518">
            <v>8352.1871999999985</v>
          </cell>
          <cell r="Z518">
            <v>3579.5087999999992</v>
          </cell>
          <cell r="AA518">
            <v>397.72319999999991</v>
          </cell>
          <cell r="AB518">
            <v>22.389027306507995</v>
          </cell>
          <cell r="AC518">
            <v>8</v>
          </cell>
          <cell r="AD518">
            <v>64.512693512605992</v>
          </cell>
          <cell r="AE518">
            <v>103.79227881101133</v>
          </cell>
          <cell r="AF518">
            <v>20.845031446540876</v>
          </cell>
          <cell r="AG518">
            <v>29.460977777777771</v>
          </cell>
          <cell r="AH518" t="str">
            <v>Instrumentación</v>
          </cell>
          <cell r="AI518">
            <v>397.72319999999991</v>
          </cell>
          <cell r="AJ518">
            <v>8</v>
          </cell>
          <cell r="AK518">
            <v>49.715399999999988</v>
          </cell>
        </row>
        <row r="519">
          <cell r="A519" t="str">
            <v>C154</v>
          </cell>
          <cell r="B519" t="str">
            <v>COND</v>
          </cell>
          <cell r="C519" t="str">
            <v>WWOLEII09081400100</v>
          </cell>
          <cell r="D519" t="str">
            <v>VENTANILLA, SANTA ROSA Y MALACAS</v>
          </cell>
          <cell r="E519" t="str">
            <v>CORRECTIVO SIMPLE EN TRAFO SECO</v>
          </cell>
          <cell r="F519" t="str">
            <v>ACTIVIDAD DE RESTAURACIÓN SOBRE LOS SISTEMAS AUXILIARES DE LOS TRANSFORMADORES EN RESINA MT/BT Y BT/BT COMO: MEDIDORES DE TEMPERATURA, TERMOMETROS LOCALES, VENTILADORES FORZADOS. INCLUYE BUSQUEDA Y RESTARURACIÓN DE FALLOS, PRUEBAS FUNCIÓNALES. INCLUYE APERTURA Y CIERRE DE LAS TAPAS SI ESTAN PRESENTE.</v>
          </cell>
          <cell r="G519" t="str">
            <v>LEII0900</v>
          </cell>
          <cell r="H519" t="str">
            <v>NUM</v>
          </cell>
          <cell r="I519">
            <v>1</v>
          </cell>
          <cell r="J519">
            <v>4</v>
          </cell>
          <cell r="K519">
            <v>2</v>
          </cell>
          <cell r="L519">
            <v>8</v>
          </cell>
          <cell r="M519" t="str">
            <v>NO</v>
          </cell>
          <cell r="N519">
            <v>4</v>
          </cell>
          <cell r="O519">
            <v>3</v>
          </cell>
          <cell r="P519">
            <v>3</v>
          </cell>
          <cell r="Q519">
            <v>12</v>
          </cell>
          <cell r="R519">
            <v>9</v>
          </cell>
          <cell r="S519">
            <v>9</v>
          </cell>
          <cell r="T519">
            <v>384.89734863721895</v>
          </cell>
          <cell r="U519">
            <v>384.89734863721895</v>
          </cell>
          <cell r="V519">
            <v>384.89734863721895</v>
          </cell>
          <cell r="W519">
            <v>4618.7681836466272</v>
          </cell>
          <cell r="X519">
            <v>3464.0761377349704</v>
          </cell>
          <cell r="Y519">
            <v>8082.8443213815972</v>
          </cell>
          <cell r="Z519">
            <v>3464.0761377349704</v>
          </cell>
          <cell r="AA519">
            <v>384.89734863721895</v>
          </cell>
          <cell r="AB519">
            <v>23.057832511738386</v>
          </cell>
          <cell r="AC519">
            <v>8</v>
          </cell>
          <cell r="AD519">
            <v>58.167401901955145</v>
          </cell>
          <cell r="AE519">
            <v>93.583554912959357</v>
          </cell>
          <cell r="AF519">
            <v>20.172817014529294</v>
          </cell>
          <cell r="AG519">
            <v>28.510914713868068</v>
          </cell>
          <cell r="AH519" t="str">
            <v>Electricidad</v>
          </cell>
          <cell r="AI519">
            <v>384.89734863721895</v>
          </cell>
          <cell r="AJ519">
            <v>8</v>
          </cell>
          <cell r="AK519">
            <v>48.112168579652369</v>
          </cell>
        </row>
        <row r="520">
          <cell r="A520" t="str">
            <v>C074</v>
          </cell>
          <cell r="B520" t="str">
            <v>COND</v>
          </cell>
          <cell r="C520" t="str">
            <v>WWOLEII09080501300</v>
          </cell>
          <cell r="D520" t="str">
            <v>VENTANILLA, SANTA ROSA Y MALACAS</v>
          </cell>
          <cell r="E520" t="str">
            <v xml:space="preserve">SUSTITUCIÓN BALIZAS CHIMENEA </v>
          </cell>
          <cell r="F520" t="str">
            <v>ACTIVIDAD DE RESTAURACIÓN DE BALIZA DE CUALQUIER TIPO INSTALADA EN CHIMENEA (FIJA O INTERMITENTE). INLUYE ACCESO A LA CHIMENEA. EN CASO SE REACONDICIÓNE MAS DE UNA LUZ, LAS DESPUES DE LA PRIMERA SE CONTABILIZARAN AL 50%.</v>
          </cell>
          <cell r="G520" t="str">
            <v>LEII0900</v>
          </cell>
          <cell r="H520" t="str">
            <v>NUM</v>
          </cell>
          <cell r="I520">
            <v>1</v>
          </cell>
          <cell r="J520">
            <v>2</v>
          </cell>
          <cell r="K520">
            <v>2</v>
          </cell>
          <cell r="L520">
            <v>4</v>
          </cell>
          <cell r="M520" t="str">
            <v>NO</v>
          </cell>
          <cell r="N520">
            <v>4</v>
          </cell>
          <cell r="O520">
            <v>3</v>
          </cell>
          <cell r="P520">
            <v>3</v>
          </cell>
          <cell r="Q520">
            <v>12</v>
          </cell>
          <cell r="R520">
            <v>9</v>
          </cell>
          <cell r="S520">
            <v>9</v>
          </cell>
          <cell r="T520">
            <v>192.44867431860953</v>
          </cell>
          <cell r="U520">
            <v>192.44867431860953</v>
          </cell>
          <cell r="V520">
            <v>192.44867431860953</v>
          </cell>
          <cell r="W520">
            <v>2309.3840918233145</v>
          </cell>
          <cell r="X520">
            <v>1732.0380688674859</v>
          </cell>
          <cell r="Y520">
            <v>4041.4221606908004</v>
          </cell>
          <cell r="Z520">
            <v>1732.0380688674859</v>
          </cell>
          <cell r="AA520">
            <v>192.44867431860953</v>
          </cell>
          <cell r="AB520">
            <v>23.057832511738386</v>
          </cell>
          <cell r="AC520">
            <v>4</v>
          </cell>
          <cell r="AD520">
            <v>29.083700950977594</v>
          </cell>
          <cell r="AE520">
            <v>46.791777456479714</v>
          </cell>
          <cell r="AF520">
            <v>10.08640850726465</v>
          </cell>
          <cell r="AG520">
            <v>14.255457356934039</v>
          </cell>
          <cell r="AH520" t="str">
            <v>Electricidad</v>
          </cell>
          <cell r="AI520">
            <v>192.44867431860953</v>
          </cell>
          <cell r="AJ520">
            <v>4</v>
          </cell>
          <cell r="AK520">
            <v>48.112168579652383</v>
          </cell>
        </row>
        <row r="521">
          <cell r="A521" t="str">
            <v>C186</v>
          </cell>
          <cell r="B521" t="str">
            <v>COND</v>
          </cell>
          <cell r="C521" t="str">
            <v>WWOMMIM01060201000</v>
          </cell>
          <cell r="D521" t="str">
            <v>VENTANILLA, SANTA ROSA Y MALACAS</v>
          </cell>
          <cell r="E521" t="str">
            <v>BOMB CENTRÍF&gt;10KWY&lt;50KW: REEMP SELLO MEC</v>
          </cell>
          <cell r="F521" t="str">
            <v>ACTIVIDAD DE REEMPLAZO/SUSTITUCIÓN DEL SELLO MECANICO. NO INCLUYE EL DESMONTAJE Y REMONTAJE DE LA BOMBA DE SU INSTALACIÓN</v>
          </cell>
          <cell r="G521" t="str">
            <v>MMIM0100</v>
          </cell>
          <cell r="H521" t="str">
            <v>NUM</v>
          </cell>
          <cell r="I521">
            <v>1</v>
          </cell>
          <cell r="J521">
            <v>3</v>
          </cell>
          <cell r="K521">
            <v>2</v>
          </cell>
          <cell r="L521">
            <v>6</v>
          </cell>
          <cell r="M521" t="str">
            <v>NO</v>
          </cell>
          <cell r="N521">
            <v>4</v>
          </cell>
          <cell r="O521">
            <v>3</v>
          </cell>
          <cell r="P521">
            <v>3</v>
          </cell>
          <cell r="Q521">
            <v>12</v>
          </cell>
          <cell r="R521">
            <v>9</v>
          </cell>
          <cell r="S521">
            <v>9</v>
          </cell>
          <cell r="T521">
            <v>269.5361456504254</v>
          </cell>
          <cell r="U521">
            <v>269.5361456504254</v>
          </cell>
          <cell r="V521">
            <v>269.5361456504254</v>
          </cell>
          <cell r="W521">
            <v>3234.4337478051048</v>
          </cell>
          <cell r="X521">
            <v>2425.8253108538283</v>
          </cell>
          <cell r="Y521">
            <v>5660.2590586589331</v>
          </cell>
          <cell r="Z521">
            <v>2425.8253108538283</v>
          </cell>
          <cell r="AA521">
            <v>269.5361456504254</v>
          </cell>
          <cell r="AB521">
            <v>20.776439546856693</v>
          </cell>
          <cell r="AC521">
            <v>6</v>
          </cell>
          <cell r="AD521">
            <v>42.464900768916195</v>
          </cell>
          <cell r="AE521">
            <v>68.32033481020342</v>
          </cell>
          <cell r="AF521">
            <v>14.126632371615585</v>
          </cell>
          <cell r="AG521">
            <v>19.965640418550031</v>
          </cell>
          <cell r="AH521" t="str">
            <v>Mecánica</v>
          </cell>
          <cell r="AI521">
            <v>269.5361456504254</v>
          </cell>
          <cell r="AJ521">
            <v>6</v>
          </cell>
          <cell r="AK521">
            <v>44.922690941737564</v>
          </cell>
        </row>
        <row r="522">
          <cell r="A522" t="str">
            <v>C195</v>
          </cell>
          <cell r="B522" t="str">
            <v>COND</v>
          </cell>
          <cell r="C522" t="str">
            <v>WWOMMIM01060201600</v>
          </cell>
          <cell r="D522" t="str">
            <v>VENTANILLA, SANTA ROSA Y MALACAS</v>
          </cell>
          <cell r="E522" t="str">
            <v>BOMBA CENTRÍFUGA &gt;50&lt;130KW: RMPL SEL MEC</v>
          </cell>
          <cell r="F522" t="str">
            <v>ACTIVIDAD DE REEMPLAZO/SUSTITUCIÓN DEL SELLO MECANICO. NO INCLUYE EL DESMONTAJE Y REMONTAJE DE LA BOMBA DE SU INSTALACIÓN</v>
          </cell>
          <cell r="G522" t="str">
            <v>MMIM0100</v>
          </cell>
          <cell r="H522" t="str">
            <v>NUM</v>
          </cell>
          <cell r="I522">
            <v>1</v>
          </cell>
          <cell r="J522">
            <v>4</v>
          </cell>
          <cell r="K522">
            <v>2</v>
          </cell>
          <cell r="L522">
            <v>8</v>
          </cell>
          <cell r="M522" t="str">
            <v>NO</v>
          </cell>
          <cell r="N522">
            <v>4</v>
          </cell>
          <cell r="O522">
            <v>3</v>
          </cell>
          <cell r="P522">
            <v>3</v>
          </cell>
          <cell r="Q522">
            <v>12</v>
          </cell>
          <cell r="R522">
            <v>9</v>
          </cell>
          <cell r="S522">
            <v>9</v>
          </cell>
          <cell r="T522">
            <v>359.38152753390051</v>
          </cell>
          <cell r="U522">
            <v>359.38152753390051</v>
          </cell>
          <cell r="V522">
            <v>359.38152753390051</v>
          </cell>
          <cell r="W522">
            <v>4312.5783304068063</v>
          </cell>
          <cell r="X522">
            <v>3234.4337478051048</v>
          </cell>
          <cell r="Y522">
            <v>7547.0120782119111</v>
          </cell>
          <cell r="Z522">
            <v>3234.4337478051048</v>
          </cell>
          <cell r="AA522">
            <v>359.38152753390051</v>
          </cell>
          <cell r="AB522">
            <v>20.776439546856693</v>
          </cell>
          <cell r="AC522">
            <v>8</v>
          </cell>
          <cell r="AD522">
            <v>56.61986769188826</v>
          </cell>
          <cell r="AE522">
            <v>91.093779746937898</v>
          </cell>
          <cell r="AF522">
            <v>18.835509828820783</v>
          </cell>
          <cell r="AG522">
            <v>26.620853891400039</v>
          </cell>
          <cell r="AH522" t="str">
            <v>Mecánica</v>
          </cell>
          <cell r="AI522">
            <v>359.38152753390051</v>
          </cell>
          <cell r="AJ522">
            <v>8</v>
          </cell>
          <cell r="AK522">
            <v>44.922690941737564</v>
          </cell>
        </row>
        <row r="523">
          <cell r="A523" t="str">
            <v>C196</v>
          </cell>
          <cell r="B523" t="str">
            <v>COND</v>
          </cell>
          <cell r="C523" t="str">
            <v>WWOMMIM01060200400</v>
          </cell>
          <cell r="D523" t="str">
            <v>VENTANILLA, SANTA ROSA Y MALACAS</v>
          </cell>
          <cell r="E523" t="str">
            <v>BOMBA CENTRÍFUGA&lt;10KW: REEMPL SELLO MEC</v>
          </cell>
          <cell r="F523" t="str">
            <v>ACTIVIDAD DE REEMPLAZO/SUSTITUCIÓN DEL SELLO MECANICO. NO INCLUYE EL DESMONTAJE Y REMONTAJE DE LA BOMBA DE SU INSTALACIÓN</v>
          </cell>
          <cell r="G523" t="str">
            <v>MMIM0100</v>
          </cell>
          <cell r="H523" t="str">
            <v>NUM</v>
          </cell>
          <cell r="I523">
            <v>1</v>
          </cell>
          <cell r="J523">
            <v>2.5</v>
          </cell>
          <cell r="K523">
            <v>2</v>
          </cell>
          <cell r="L523">
            <v>5</v>
          </cell>
          <cell r="M523" t="str">
            <v>NO</v>
          </cell>
          <cell r="N523">
            <v>4</v>
          </cell>
          <cell r="O523">
            <v>3</v>
          </cell>
          <cell r="P523">
            <v>3</v>
          </cell>
          <cell r="Q523">
            <v>12</v>
          </cell>
          <cell r="R523">
            <v>9</v>
          </cell>
          <cell r="S523">
            <v>9</v>
          </cell>
          <cell r="T523">
            <v>224.61345470868753</v>
          </cell>
          <cell r="U523">
            <v>224.61345470868753</v>
          </cell>
          <cell r="V523">
            <v>224.61345470868753</v>
          </cell>
          <cell r="W523">
            <v>2695.3614565042503</v>
          </cell>
          <cell r="X523">
            <v>2021.5210923781879</v>
          </cell>
          <cell r="Y523">
            <v>4716.8825488824386</v>
          </cell>
          <cell r="Z523">
            <v>2021.5210923781879</v>
          </cell>
          <cell r="AA523">
            <v>224.61345470868753</v>
          </cell>
          <cell r="AB523">
            <v>20.776439546856693</v>
          </cell>
          <cell r="AC523">
            <v>5</v>
          </cell>
          <cell r="AD523">
            <v>35.387417307430063</v>
          </cell>
          <cell r="AE523">
            <v>56.933612341836017</v>
          </cell>
          <cell r="AF523">
            <v>11.772193643012972</v>
          </cell>
          <cell r="AG523">
            <v>16.638033682125002</v>
          </cell>
          <cell r="AH523" t="str">
            <v>Mecánica</v>
          </cell>
          <cell r="AI523">
            <v>224.61345470868753</v>
          </cell>
          <cell r="AJ523">
            <v>5</v>
          </cell>
          <cell r="AK523">
            <v>44.922690941737507</v>
          </cell>
        </row>
        <row r="524">
          <cell r="A524" t="str">
            <v>C201</v>
          </cell>
          <cell r="B524" t="str">
            <v>COND</v>
          </cell>
          <cell r="C524" t="str">
            <v>WWOMMIM01060202200</v>
          </cell>
          <cell r="D524" t="str">
            <v>VENTANILLA, SANTA ROSA Y MALACAS</v>
          </cell>
          <cell r="E524" t="str">
            <v>BOMBA CENTRÍFUGA&gt;130&lt;250KW: RMPL SEL MEC</v>
          </cell>
          <cell r="F524" t="str">
            <v>ACTIVIDAD DE REEMPLAZO/SUSTITUCIÓN DEL SELLO MECANICO. NO INCLUYE EL DESMONTAJE Y REMONTAJE DE LA BOMBA DE SU INSTALACIÓN</v>
          </cell>
          <cell r="G524" t="str">
            <v>MMIM0100</v>
          </cell>
          <cell r="H524" t="str">
            <v>NUM</v>
          </cell>
          <cell r="I524">
            <v>1</v>
          </cell>
          <cell r="J524">
            <v>2</v>
          </cell>
          <cell r="K524">
            <v>2</v>
          </cell>
          <cell r="L524">
            <v>4</v>
          </cell>
          <cell r="M524" t="str">
            <v>NO</v>
          </cell>
          <cell r="N524">
            <v>4</v>
          </cell>
          <cell r="O524">
            <v>3</v>
          </cell>
          <cell r="P524">
            <v>3</v>
          </cell>
          <cell r="Q524">
            <v>12</v>
          </cell>
          <cell r="R524">
            <v>9</v>
          </cell>
          <cell r="S524">
            <v>9</v>
          </cell>
          <cell r="T524">
            <v>171.2703176613299</v>
          </cell>
          <cell r="U524">
            <v>171.2703176613299</v>
          </cell>
          <cell r="V524">
            <v>171.2703176613299</v>
          </cell>
          <cell r="W524">
            <v>2055.2438119359585</v>
          </cell>
          <cell r="X524">
            <v>1541.4328589519691</v>
          </cell>
          <cell r="Y524">
            <v>3596.6766708879277</v>
          </cell>
          <cell r="Z524">
            <v>1541.4328589519691</v>
          </cell>
          <cell r="AA524">
            <v>171.2703176613299</v>
          </cell>
          <cell r="AB524">
            <v>19.171538486527368</v>
          </cell>
          <cell r="AC524">
            <v>4</v>
          </cell>
          <cell r="AD524">
            <v>27.95124085576003</v>
          </cell>
          <cell r="AE524">
            <v>44.969800919068547</v>
          </cell>
          <cell r="AF524">
            <v>8.976431743256283</v>
          </cell>
          <cell r="AG524">
            <v>12.686690197135547</v>
          </cell>
          <cell r="AH524" t="str">
            <v>Mecánica</v>
          </cell>
          <cell r="AI524">
            <v>171.2703176613299</v>
          </cell>
          <cell r="AJ524">
            <v>4</v>
          </cell>
          <cell r="AK524">
            <v>42.817579415332474</v>
          </cell>
        </row>
        <row r="525">
          <cell r="A525" t="str">
            <v>C204</v>
          </cell>
          <cell r="B525" t="str">
            <v>COND</v>
          </cell>
          <cell r="C525" t="str">
            <v>WWOMMIM01060202800</v>
          </cell>
          <cell r="D525" t="str">
            <v>VENTANILLA, SANTA ROSA Y MALACAS</v>
          </cell>
          <cell r="E525" t="str">
            <v>BOMBA CENTRÍFUGA&gt;250KW: RMPL SEL MEC</v>
          </cell>
          <cell r="F525" t="str">
            <v>ACTIVIDAD DE REEMPLAZO/SUSTITUCIÓN DEL SELLO MECANICO. NO INCLUYE EL DESMONTAJE Y REMONTAJE DE LA BOMBA DE SU INSTALACIÓN</v>
          </cell>
          <cell r="G525" t="str">
            <v>MMIM0100</v>
          </cell>
          <cell r="H525" t="str">
            <v>NUM</v>
          </cell>
          <cell r="I525">
            <v>1</v>
          </cell>
          <cell r="J525">
            <v>3</v>
          </cell>
          <cell r="K525">
            <v>2</v>
          </cell>
          <cell r="L525">
            <v>6</v>
          </cell>
          <cell r="M525" t="str">
            <v>NO</v>
          </cell>
          <cell r="N525">
            <v>4</v>
          </cell>
          <cell r="O525">
            <v>3</v>
          </cell>
          <cell r="P525">
            <v>3</v>
          </cell>
          <cell r="Q525">
            <v>12</v>
          </cell>
          <cell r="R525">
            <v>9</v>
          </cell>
          <cell r="S525">
            <v>9</v>
          </cell>
          <cell r="T525">
            <v>292.67746202924195</v>
          </cell>
          <cell r="U525">
            <v>292.67746202924195</v>
          </cell>
          <cell r="V525">
            <v>292.67746202924195</v>
          </cell>
          <cell r="W525">
            <v>3512.1295443509034</v>
          </cell>
          <cell r="X525">
            <v>2634.0971582631773</v>
          </cell>
          <cell r="Y525">
            <v>6146.2267026140808</v>
          </cell>
          <cell r="Z525">
            <v>2634.0971582631773</v>
          </cell>
          <cell r="AA525">
            <v>292.67746202924195</v>
          </cell>
          <cell r="AB525">
            <v>20.776439546856693</v>
          </cell>
          <cell r="AC525">
            <v>6</v>
          </cell>
          <cell r="AD525">
            <v>50.213205045433156</v>
          </cell>
          <cell r="AE525">
            <v>80.78631807632847</v>
          </cell>
          <cell r="AF525">
            <v>15.339489624174107</v>
          </cell>
          <cell r="AG525">
            <v>21.679812002166074</v>
          </cell>
          <cell r="AH525" t="str">
            <v>Mecánica</v>
          </cell>
          <cell r="AI525">
            <v>292.67746202924195</v>
          </cell>
          <cell r="AJ525">
            <v>6</v>
          </cell>
          <cell r="AK525">
            <v>48.779577004873659</v>
          </cell>
        </row>
        <row r="526">
          <cell r="A526" t="str">
            <v>P049</v>
          </cell>
          <cell r="B526" t="str">
            <v>PREV</v>
          </cell>
          <cell r="C526" t="str">
            <v>WWOLEII09081101100</v>
          </cell>
          <cell r="D526" t="str">
            <v>VENTANILLA, SANTA ROSA Y MALACAS</v>
          </cell>
          <cell r="E526" t="str">
            <v>MANTEN COMPLETO ARMARIOS Y RACK</v>
          </cell>
          <cell r="F526" t="str">
            <v>ACTIVIDAD DE MANTENIMIENTO SOBRE RACK 19 PULGADAS CONTENENTES EQUIPOS INFORMATICOS. INCLUYE LIMPIEZA Y REMOCIÓN DE POLVO, APRIETE Y COMPROBACIÓN CONEXIONES ELECTRICAS.</v>
          </cell>
          <cell r="G526" t="str">
            <v>LEII0908</v>
          </cell>
          <cell r="H526" t="str">
            <v>NUM</v>
          </cell>
          <cell r="I526">
            <v>1</v>
          </cell>
          <cell r="J526">
            <v>3</v>
          </cell>
          <cell r="K526">
            <v>2</v>
          </cell>
          <cell r="L526">
            <v>6</v>
          </cell>
          <cell r="M526" t="str">
            <v>NO</v>
          </cell>
          <cell r="N526">
            <v>93</v>
          </cell>
          <cell r="O526">
            <v>35</v>
          </cell>
          <cell r="P526">
            <v>30</v>
          </cell>
          <cell r="Q526">
            <v>279</v>
          </cell>
          <cell r="R526">
            <v>105</v>
          </cell>
          <cell r="S526">
            <v>90</v>
          </cell>
          <cell r="T526">
            <v>276.20937200672722</v>
          </cell>
          <cell r="U526">
            <v>276.20937200672722</v>
          </cell>
          <cell r="V526">
            <v>276.20937200672722</v>
          </cell>
          <cell r="W526">
            <v>77062.414789876901</v>
          </cell>
          <cell r="X526">
            <v>29001.98406070636</v>
          </cell>
          <cell r="Y526">
            <v>106064.39885058327</v>
          </cell>
          <cell r="Z526">
            <v>24858.84348060545</v>
          </cell>
          <cell r="AA526">
            <v>276.20937200672722</v>
          </cell>
          <cell r="AB526">
            <v>23.466564118731693</v>
          </cell>
          <cell r="AC526">
            <v>6</v>
          </cell>
          <cell r="AD526">
            <v>34.483138932337347</v>
          </cell>
          <cell r="AE526">
            <v>65.990512699373852</v>
          </cell>
          <cell r="AF526">
            <v>14.47638218064608</v>
          </cell>
          <cell r="AG526">
            <v>20.459953481979795</v>
          </cell>
          <cell r="AH526" t="str">
            <v>Instrumentación</v>
          </cell>
          <cell r="AI526">
            <v>276.20937200672722</v>
          </cell>
          <cell r="AJ526">
            <v>6</v>
          </cell>
          <cell r="AK526">
            <v>46.034895334454539</v>
          </cell>
        </row>
        <row r="527">
          <cell r="A527" t="str">
            <v>C139</v>
          </cell>
          <cell r="B527" t="str">
            <v>COND</v>
          </cell>
          <cell r="C527" t="str">
            <v>WWOLEII09081101100</v>
          </cell>
          <cell r="D527" t="str">
            <v>VENTANILLA, SANTA ROSA Y MALACAS</v>
          </cell>
          <cell r="E527" t="str">
            <v>MANTEN COMPLETO ARMARIOS Y RACK</v>
          </cell>
          <cell r="F527" t="str">
            <v>ACTIVIDAD DE MANTENIMIENTO SOBRE RACK 19 PULGADAS CONTENENTES EQUIPOS INFORMATICOS. INCLUYE LIMPIEZA Y REMOCIÓN DE POLVO, APRIETE Y COMPROBACIÓN CONEXIONES ELECTRICAS.</v>
          </cell>
          <cell r="G527" t="str">
            <v>LEII0900</v>
          </cell>
          <cell r="H527" t="str">
            <v>NUM</v>
          </cell>
          <cell r="I527">
            <v>1</v>
          </cell>
          <cell r="J527">
            <v>3</v>
          </cell>
          <cell r="K527">
            <v>2</v>
          </cell>
          <cell r="L527">
            <v>6</v>
          </cell>
          <cell r="M527" t="str">
            <v>NO</v>
          </cell>
          <cell r="N527">
            <v>1</v>
          </cell>
          <cell r="O527">
            <v>1</v>
          </cell>
          <cell r="P527">
            <v>1</v>
          </cell>
          <cell r="Q527">
            <v>3</v>
          </cell>
          <cell r="R527">
            <v>3</v>
          </cell>
          <cell r="S527">
            <v>3</v>
          </cell>
          <cell r="T527">
            <v>271.42067253464523</v>
          </cell>
          <cell r="U527">
            <v>271.42067253464523</v>
          </cell>
          <cell r="V527">
            <v>271.42067253464523</v>
          </cell>
          <cell r="W527">
            <v>814.26201760393565</v>
          </cell>
          <cell r="X527">
            <v>814.26201760393565</v>
          </cell>
          <cell r="Y527">
            <v>1628.5240352078713</v>
          </cell>
          <cell r="Z527">
            <v>814.26201760393565</v>
          </cell>
          <cell r="AA527">
            <v>271.42067253464523</v>
          </cell>
          <cell r="AB527">
            <v>23.466564118731693</v>
          </cell>
          <cell r="AC527">
            <v>6</v>
          </cell>
          <cell r="AD527">
            <v>33.047508793448252</v>
          </cell>
          <cell r="AE527">
            <v>63.243141901783218</v>
          </cell>
          <cell r="AF527">
            <v>14.225402124457297</v>
          </cell>
          <cell r="AG527">
            <v>20.105235002566314</v>
          </cell>
          <cell r="AH527" t="str">
            <v>Instrumentación</v>
          </cell>
          <cell r="AI527">
            <v>271.42067253464523</v>
          </cell>
          <cell r="AJ527">
            <v>6</v>
          </cell>
          <cell r="AK527">
            <v>45.236778755774203</v>
          </cell>
        </row>
        <row r="528">
          <cell r="A528" t="str">
            <v>C040</v>
          </cell>
          <cell r="B528" t="str">
            <v>COND</v>
          </cell>
          <cell r="C528" t="str">
            <v>WWOLEII09080300200</v>
          </cell>
          <cell r="D528" t="str">
            <v>VENTANILLA, SANTA ROSA Y MALACAS</v>
          </cell>
          <cell r="E528" t="str">
            <v>MONTAJE/DESMONT INSTRUMENTO DE PROCESO</v>
          </cell>
          <cell r="F528" t="str">
            <v>ACTIVIDAD DE MANTENIMIENTO SOBRE INSTRUMENTACIÓN DE PROCESO, COMO TERMOMETROS, MANOMETROS, TUBOS A U O CUALQUIER OTRO TIPO DE INDICADOR LOCAL. INCLUYE DESMONTAJE Y SIGUIENTE REMONTAJE, CONEXIÓN AL PROCESO Y PRUEBAS FUNCIÓNALES. CONTABILIZACIÓN: 40% DESMONTAJE, 60% REMONTAJE.</v>
          </cell>
          <cell r="G528" t="str">
            <v>LEII0900</v>
          </cell>
          <cell r="H528" t="str">
            <v>NUM</v>
          </cell>
          <cell r="I528">
            <v>1</v>
          </cell>
          <cell r="J528">
            <v>4</v>
          </cell>
          <cell r="K528">
            <v>2</v>
          </cell>
          <cell r="L528">
            <v>8</v>
          </cell>
          <cell r="M528" t="str">
            <v>NO</v>
          </cell>
          <cell r="N528">
            <v>4</v>
          </cell>
          <cell r="O528">
            <v>3</v>
          </cell>
          <cell r="P528">
            <v>3</v>
          </cell>
          <cell r="Q528">
            <v>12</v>
          </cell>
          <cell r="R528">
            <v>9</v>
          </cell>
          <cell r="S528">
            <v>9</v>
          </cell>
          <cell r="T528">
            <v>387.96235779611703</v>
          </cell>
          <cell r="U528">
            <v>387.96235779611703</v>
          </cell>
          <cell r="V528">
            <v>387.96235779611703</v>
          </cell>
          <cell r="W528">
            <v>4655.5482935534046</v>
          </cell>
          <cell r="X528">
            <v>3491.6612201650532</v>
          </cell>
          <cell r="Y528">
            <v>8147.2095137184579</v>
          </cell>
          <cell r="Z528">
            <v>3491.6612201650532</v>
          </cell>
          <cell r="AA528">
            <v>387.96235779611703</v>
          </cell>
          <cell r="AB528">
            <v>23.466564118731693</v>
          </cell>
          <cell r="AC528">
            <v>8</v>
          </cell>
          <cell r="AD528">
            <v>53.753035096914537</v>
          </cell>
          <cell r="AE528">
            <v>97.405400412453659</v>
          </cell>
          <cell r="AF528">
            <v>20.333456907553305</v>
          </cell>
          <cell r="AG528">
            <v>28.737952429342005</v>
          </cell>
          <cell r="AH528" t="str">
            <v>Instrumentación</v>
          </cell>
          <cell r="AI528">
            <v>387.96235779611703</v>
          </cell>
          <cell r="AJ528">
            <v>8</v>
          </cell>
          <cell r="AK528">
            <v>48.495294724514629</v>
          </cell>
        </row>
        <row r="529">
          <cell r="A529" t="str">
            <v>C163</v>
          </cell>
          <cell r="B529" t="str">
            <v>COND</v>
          </cell>
          <cell r="C529" t="str">
            <v>WWOLEII09082200100</v>
          </cell>
          <cell r="D529" t="str">
            <v>VENTANILLA, SANTA ROSA Y MALACAS</v>
          </cell>
          <cell r="E529" t="str">
            <v>CORRECTIVO SIMP PUENTE GRUA/MEDIO ELEVAC</v>
          </cell>
          <cell r="F529" t="str">
            <v>ACTIVIDAD DE MANTENIMIENTO SOBRE FALLOS PUENTES GRUA, GRUAS Y MEDIOS DE ELEVACIÓN. INCLUYE BUSQUEDA DE FALLOS Y RESTAURACIÓNES MENORES COMO SUSTITUCIÓN FINES DE CARRERAS, TARJETAS ELECTRONICAS, RELAYS Y SIMILARES</v>
          </cell>
          <cell r="G529" t="str">
            <v>LEII0900</v>
          </cell>
          <cell r="H529" t="str">
            <v>H</v>
          </cell>
          <cell r="I529">
            <v>1</v>
          </cell>
          <cell r="J529">
            <v>1</v>
          </cell>
          <cell r="K529">
            <v>2</v>
          </cell>
          <cell r="L529">
            <v>2</v>
          </cell>
          <cell r="M529" t="str">
            <v>SI</v>
          </cell>
          <cell r="N529">
            <v>4</v>
          </cell>
          <cell r="O529">
            <v>3</v>
          </cell>
          <cell r="P529">
            <v>3</v>
          </cell>
          <cell r="Q529">
            <v>12</v>
          </cell>
          <cell r="R529">
            <v>9</v>
          </cell>
          <cell r="S529">
            <v>9</v>
          </cell>
          <cell r="T529">
            <v>95.896214108605079</v>
          </cell>
          <cell r="U529">
            <v>95.896214108605079</v>
          </cell>
          <cell r="V529">
            <v>95.896214108605079</v>
          </cell>
          <cell r="W529">
            <v>1150.754569303261</v>
          </cell>
          <cell r="X529">
            <v>863.06592697744577</v>
          </cell>
          <cell r="Y529">
            <v>2013.8204962807067</v>
          </cell>
          <cell r="Z529">
            <v>863.06592697744577</v>
          </cell>
          <cell r="AA529">
            <v>95.896214108605079</v>
          </cell>
          <cell r="AB529">
            <v>19.160296713371157</v>
          </cell>
          <cell r="AC529">
            <v>2</v>
          </cell>
          <cell r="AD529">
            <v>17.419902164492491</v>
          </cell>
          <cell r="AE529">
            <v>28.026288221313308</v>
          </cell>
          <cell r="AF529">
            <v>5.0260070287528862</v>
          </cell>
          <cell r="AG529">
            <v>7.1034232673040805</v>
          </cell>
          <cell r="AH529" t="str">
            <v>Electricidad</v>
          </cell>
          <cell r="AI529">
            <v>95.896214108605079</v>
          </cell>
          <cell r="AJ529">
            <v>2</v>
          </cell>
          <cell r="AK529">
            <v>47.94810705430254</v>
          </cell>
        </row>
        <row r="530">
          <cell r="A530" t="str">
            <v>P048</v>
          </cell>
          <cell r="B530" t="str">
            <v>PREV</v>
          </cell>
          <cell r="C530" t="str">
            <v>WWOLEII09081101000</v>
          </cell>
          <cell r="D530" t="str">
            <v>VENTANILLA, SANTA ROSA Y MALACAS</v>
          </cell>
          <cell r="E530" t="str">
            <v>MANTENIMIENTO SERVER/CLIENT</v>
          </cell>
          <cell r="F530" t="str">
            <v>ACTIVIDAD DE MANTENIMIENTO SOBRE EQUIPOS INFORMATICOS COMO PC CLIENT/SERVER. INCLUYE: EJECUCIÓN BACKUP, DESMONTAJE, LIMPIEZA Y REMOCIÓN POLVO, SUSTITUCIÓN BATERIA TAMPON EN CASO SEA NECESARIO, SUSTITUCIÓN COMPONENTES INTERNOS DAÑADOS COMO VENTILADORES Y COMPONENTES INFORMATICOS.</v>
          </cell>
          <cell r="G530" t="str">
            <v>LEII0908</v>
          </cell>
          <cell r="H530" t="str">
            <v>NUM</v>
          </cell>
          <cell r="I530">
            <v>1</v>
          </cell>
          <cell r="J530">
            <v>2</v>
          </cell>
          <cell r="K530">
            <v>2</v>
          </cell>
          <cell r="L530">
            <v>4</v>
          </cell>
          <cell r="M530" t="str">
            <v>NO</v>
          </cell>
          <cell r="N530">
            <v>15</v>
          </cell>
          <cell r="O530">
            <v>15</v>
          </cell>
          <cell r="P530">
            <v>40</v>
          </cell>
          <cell r="Q530">
            <v>45</v>
          </cell>
          <cell r="R530">
            <v>45</v>
          </cell>
          <cell r="S530">
            <v>120</v>
          </cell>
          <cell r="T530">
            <v>193.98117889805854</v>
          </cell>
          <cell r="U530">
            <v>193.98117889805854</v>
          </cell>
          <cell r="V530">
            <v>193.98117889805854</v>
          </cell>
          <cell r="W530">
            <v>8729.1530504126349</v>
          </cell>
          <cell r="X530">
            <v>8729.1530504126349</v>
          </cell>
          <cell r="Y530">
            <v>17458.30610082527</v>
          </cell>
          <cell r="Z530">
            <v>23277.741467767024</v>
          </cell>
          <cell r="AA530">
            <v>193.98117889805854</v>
          </cell>
          <cell r="AB530">
            <v>23.466564118731693</v>
          </cell>
          <cell r="AC530">
            <v>4</v>
          </cell>
          <cell r="AD530">
            <v>26.876517548457279</v>
          </cell>
          <cell r="AE530">
            <v>48.702700206226858</v>
          </cell>
          <cell r="AF530">
            <v>10.166728453776654</v>
          </cell>
          <cell r="AG530">
            <v>14.368976214671004</v>
          </cell>
          <cell r="AH530" t="str">
            <v>Instrumentación</v>
          </cell>
          <cell r="AI530">
            <v>193.98117889805854</v>
          </cell>
          <cell r="AJ530">
            <v>4</v>
          </cell>
          <cell r="AK530">
            <v>48.495294724514636</v>
          </cell>
        </row>
        <row r="531">
          <cell r="A531" t="str">
            <v>C140</v>
          </cell>
          <cell r="B531" t="str">
            <v>COND</v>
          </cell>
          <cell r="C531" t="str">
            <v>WWOLEII09081101000</v>
          </cell>
          <cell r="D531" t="str">
            <v>VENTANILLA, SANTA ROSA Y MALACAS</v>
          </cell>
          <cell r="E531" t="str">
            <v>MANTENIMIENTO SERVER/CLIENT</v>
          </cell>
          <cell r="F531" t="str">
            <v>ACTIVIDAD DE MANTENIMIENTO SOBRE EQUIPOS INFORMATICOS COMO PC CLIENT/SERVER. INCLUYE: EJECUCIÓN BACKUP, DESMONTAJE, LIMPIEZA Y REMOCIÓN POLVO, SUSTITUCIÓN BATERIA TAMPON EN CASO SEA NECESARIO, SUSTITUCIÓN COMPONENTES INTERNOS DAÑADOS COMO VENTILADORES Y COMPONENTES INFORMATICOS.</v>
          </cell>
          <cell r="G531" t="str">
            <v>LEII0900</v>
          </cell>
          <cell r="H531" t="str">
            <v>NUM</v>
          </cell>
          <cell r="I531">
            <v>1</v>
          </cell>
          <cell r="J531">
            <v>2</v>
          </cell>
          <cell r="K531">
            <v>2</v>
          </cell>
          <cell r="L531">
            <v>4</v>
          </cell>
          <cell r="M531" t="str">
            <v>NO</v>
          </cell>
          <cell r="N531">
            <v>1</v>
          </cell>
          <cell r="O531">
            <v>1</v>
          </cell>
          <cell r="P531">
            <v>1</v>
          </cell>
          <cell r="Q531">
            <v>3</v>
          </cell>
          <cell r="R531">
            <v>3</v>
          </cell>
          <cell r="S531">
            <v>3</v>
          </cell>
          <cell r="T531">
            <v>189.38653926175917</v>
          </cell>
          <cell r="U531">
            <v>189.38653926175917</v>
          </cell>
          <cell r="V531">
            <v>189.38653926175917</v>
          </cell>
          <cell r="W531">
            <v>568.15961778527753</v>
          </cell>
          <cell r="X531">
            <v>568.15961778527753</v>
          </cell>
          <cell r="Y531">
            <v>1136.3192355705551</v>
          </cell>
          <cell r="Z531">
            <v>568.15961778527753</v>
          </cell>
          <cell r="AA531">
            <v>189.38653926175917</v>
          </cell>
          <cell r="AB531">
            <v>23.466564118731693</v>
          </cell>
          <cell r="AC531">
            <v>4</v>
          </cell>
          <cell r="AD531">
            <v>27.431738981289925</v>
          </cell>
          <cell r="AE531">
            <v>44.133992019114494</v>
          </cell>
          <cell r="AF531">
            <v>9.9259192485198717</v>
          </cell>
          <cell r="AG531">
            <v>14.028632537908086</v>
          </cell>
          <cell r="AH531" t="str">
            <v>Instrumentación</v>
          </cell>
          <cell r="AI531">
            <v>189.38653926175917</v>
          </cell>
          <cell r="AJ531">
            <v>4</v>
          </cell>
          <cell r="AK531">
            <v>47.346634815439792</v>
          </cell>
        </row>
        <row r="532">
          <cell r="A532" t="str">
            <v>C157</v>
          </cell>
          <cell r="B532" t="str">
            <v>COND</v>
          </cell>
          <cell r="C532" t="str">
            <v>WWOLEII09081600100</v>
          </cell>
          <cell r="D532" t="str">
            <v>VENTANILLA, SANTA ROSA Y MALACAS</v>
          </cell>
          <cell r="E532" t="str">
            <v>MANT SIMPLE ARMARIO CONTROL ELECTRÓNICO</v>
          </cell>
          <cell r="F532" t="str">
            <v>ACTIVIDAD DE MANTENIMIENTO SOBRE ARMARIOS ELECTRONICOS DE CONTROL. LA ACTIVIDAD INCLUYE TAREAS SIMPLES, TAL Y COMO SUSTITUCIÓN DE VENTILADORES, SUSTITUCIÓN DE COMPONENTES INTERNOS (TÉRMICOS, DIFERENCIALES, ETC.), SUSTITUCIÓN DE TARJETAS DE CONTROL, ACONDICIÓNAMIENTO Y SANEAMIENTO DE MENOS DEL 5% DEL CABLEADO INTERNO, DESCONEXIÓN Y CONEXIÓN DE MENOS DE UN 5% DEL CABLEADO. INCLUYE BUSQUEDA DE FALLOS.</v>
          </cell>
          <cell r="G532" t="str">
            <v>LEII0900</v>
          </cell>
          <cell r="H532" t="str">
            <v>NUM</v>
          </cell>
          <cell r="I532">
            <v>1</v>
          </cell>
          <cell r="J532">
            <v>7.5</v>
          </cell>
          <cell r="K532">
            <v>2</v>
          </cell>
          <cell r="L532">
            <v>15</v>
          </cell>
          <cell r="M532" t="str">
            <v>NO</v>
          </cell>
          <cell r="N532">
            <v>4</v>
          </cell>
          <cell r="O532">
            <v>3</v>
          </cell>
          <cell r="P532">
            <v>3</v>
          </cell>
          <cell r="Q532">
            <v>12</v>
          </cell>
          <cell r="R532">
            <v>9</v>
          </cell>
          <cell r="S532">
            <v>9</v>
          </cell>
          <cell r="T532">
            <v>721.68252869478556</v>
          </cell>
          <cell r="U532">
            <v>721.68252869478556</v>
          </cell>
          <cell r="V532">
            <v>721.68252869478556</v>
          </cell>
          <cell r="W532">
            <v>8660.1903443374267</v>
          </cell>
          <cell r="X532">
            <v>6495.1427582530705</v>
          </cell>
          <cell r="Y532">
            <v>15155.333102590497</v>
          </cell>
          <cell r="Z532">
            <v>6495.1427582530705</v>
          </cell>
          <cell r="AA532">
            <v>721.68252869478556</v>
          </cell>
          <cell r="AB532">
            <v>23.057832511738386</v>
          </cell>
          <cell r="AC532">
            <v>15</v>
          </cell>
          <cell r="AD532">
            <v>109.06387856616594</v>
          </cell>
          <cell r="AE532">
            <v>175.46916546179884</v>
          </cell>
          <cell r="AF532">
            <v>37.824031902242432</v>
          </cell>
          <cell r="AG532">
            <v>53.457965088502633</v>
          </cell>
          <cell r="AH532" t="str">
            <v>Electricidad</v>
          </cell>
          <cell r="AI532">
            <v>721.68252869478556</v>
          </cell>
          <cell r="AJ532">
            <v>15</v>
          </cell>
          <cell r="AK532">
            <v>48.112168579652369</v>
          </cell>
        </row>
        <row r="533">
          <cell r="A533" t="str">
            <v>C038</v>
          </cell>
          <cell r="B533" t="str">
            <v>COND</v>
          </cell>
          <cell r="C533" t="str">
            <v>WWOLEII09080302400</v>
          </cell>
          <cell r="D533" t="str">
            <v>VENTANILLA, SANTA ROSA Y MALACAS</v>
          </cell>
          <cell r="E533" t="str">
            <v>MANTENIMIENTO REDUCTORES DE PRESIÓN</v>
          </cell>
          <cell r="F533" t="str">
            <v>ACTIVIDAD DE MANTENIMIENTO DEL REDUCTOR DE PRESIÓN. ACTIVIDAD A EJECUTARSE CON EQUIPOS ADECUADOS EN CAMPO O EN LABORATORIO SEGÚN LAS INDICACIÓNES DE ENEL. INCLUYE PRUEBAS FUNCIÓNALES, SUSTITUCIÓN Y COMPROBACIÓN FILTRO, SI HAY, AJUSTE DE LA PRESIÓN DE SALIDA, COMPROBACIÓN FUNCIÓNAL DEL MANOMETRO Y SU EVENTUAL SUSTITUCIÓN.</v>
          </cell>
          <cell r="G533" t="str">
            <v>LEII0900</v>
          </cell>
          <cell r="H533" t="str">
            <v>NUM</v>
          </cell>
          <cell r="I533">
            <v>1</v>
          </cell>
          <cell r="J533">
            <v>4</v>
          </cell>
          <cell r="K533">
            <v>2</v>
          </cell>
          <cell r="L533">
            <v>8</v>
          </cell>
          <cell r="M533" t="str">
            <v>NO</v>
          </cell>
          <cell r="N533">
            <v>4</v>
          </cell>
          <cell r="O533">
            <v>3</v>
          </cell>
          <cell r="P533">
            <v>3</v>
          </cell>
          <cell r="Q533">
            <v>12</v>
          </cell>
          <cell r="R533">
            <v>9</v>
          </cell>
          <cell r="S533">
            <v>9</v>
          </cell>
          <cell r="T533">
            <v>378.77307852351817</v>
          </cell>
          <cell r="U533">
            <v>378.77307852351817</v>
          </cell>
          <cell r="V533">
            <v>378.77307852351817</v>
          </cell>
          <cell r="W533">
            <v>4545.2769422822184</v>
          </cell>
          <cell r="X533">
            <v>3408.9577067116634</v>
          </cell>
          <cell r="Y533">
            <v>7954.2346489938818</v>
          </cell>
          <cell r="Z533">
            <v>3408.9577067116634</v>
          </cell>
          <cell r="AA533">
            <v>378.77307852351817</v>
          </cell>
          <cell r="AB533">
            <v>23.466564118731693</v>
          </cell>
          <cell r="AC533">
            <v>8</v>
          </cell>
          <cell r="AD533">
            <v>54.863477962579807</v>
          </cell>
          <cell r="AE533">
            <v>88.267984038228917</v>
          </cell>
          <cell r="AF533">
            <v>19.851838497039736</v>
          </cell>
          <cell r="AG533">
            <v>28.057265075816161</v>
          </cell>
          <cell r="AH533" t="str">
            <v>Instrumentación</v>
          </cell>
          <cell r="AI533">
            <v>378.77307852351817</v>
          </cell>
          <cell r="AJ533">
            <v>8</v>
          </cell>
          <cell r="AK533">
            <v>47.346634815439771</v>
          </cell>
        </row>
        <row r="534">
          <cell r="A534" t="str">
            <v>C007</v>
          </cell>
          <cell r="B534" t="str">
            <v>COND</v>
          </cell>
          <cell r="C534" t="str">
            <v>WWOLEII09090101000</v>
          </cell>
          <cell r="D534" t="str">
            <v>VENTANILLA, SANTA ROSA Y MALACAS</v>
          </cell>
          <cell r="E534" t="str">
            <v>LIMPIEZA CELDA GENERADOR GRUPO DIESEL</v>
          </cell>
          <cell r="F534" t="str">
            <v>ACTIVIDAD DE MANTENIMIENTO DE LIMPIEZA DE LA CELDA DEL GENERADOR DEL GRUPO DIESEL.</v>
          </cell>
          <cell r="G534" t="str">
            <v>LEII0900</v>
          </cell>
          <cell r="H534" t="str">
            <v>NUM</v>
          </cell>
          <cell r="I534">
            <v>1</v>
          </cell>
          <cell r="J534">
            <v>2.5</v>
          </cell>
          <cell r="K534">
            <v>2</v>
          </cell>
          <cell r="L534">
            <v>5</v>
          </cell>
          <cell r="M534" t="str">
            <v>NO</v>
          </cell>
          <cell r="N534">
            <v>4</v>
          </cell>
          <cell r="O534">
            <v>3</v>
          </cell>
          <cell r="P534">
            <v>3</v>
          </cell>
          <cell r="Q534">
            <v>12</v>
          </cell>
          <cell r="R534">
            <v>9</v>
          </cell>
          <cell r="S534">
            <v>9</v>
          </cell>
          <cell r="T534">
            <v>240.56084289826182</v>
          </cell>
          <cell r="U534">
            <v>240.56084289826182</v>
          </cell>
          <cell r="V534">
            <v>240.56084289826182</v>
          </cell>
          <cell r="W534">
            <v>2886.7301147791418</v>
          </cell>
          <cell r="X534">
            <v>2165.0475860843562</v>
          </cell>
          <cell r="Y534">
            <v>5051.7777008634985</v>
          </cell>
          <cell r="Z534">
            <v>2165.0475860843562</v>
          </cell>
          <cell r="AA534">
            <v>240.56084289826182</v>
          </cell>
          <cell r="AB534">
            <v>23.057832511738386</v>
          </cell>
          <cell r="AC534">
            <v>5</v>
          </cell>
          <cell r="AD534">
            <v>36.354626188721959</v>
          </cell>
          <cell r="AE534">
            <v>58.489721820599591</v>
          </cell>
          <cell r="AF534">
            <v>12.608010634080808</v>
          </cell>
          <cell r="AG534">
            <v>17.819321696167542</v>
          </cell>
          <cell r="AH534" t="str">
            <v>Electricidad</v>
          </cell>
          <cell r="AI534">
            <v>240.56084289826182</v>
          </cell>
          <cell r="AJ534">
            <v>5</v>
          </cell>
          <cell r="AK534">
            <v>48.112168579652362</v>
          </cell>
        </row>
        <row r="535">
          <cell r="A535" t="str">
            <v>C142</v>
          </cell>
          <cell r="B535" t="str">
            <v>COND</v>
          </cell>
          <cell r="C535" t="str">
            <v>WWOLEII09081201100</v>
          </cell>
          <cell r="D535" t="str">
            <v>VENTANILLA, SANTA ROSA Y MALACAS</v>
          </cell>
          <cell r="E535" t="str">
            <v>MANTENIM BARRAS COLECTORAS DE FASES MT</v>
          </cell>
          <cell r="F535" t="str">
            <v>ACTIVIDAD DE MANTENIMIENTO DE DUCTOS DE BARRA MT EN TABLEROS MT Y DUCTOS DE BARRAS.  ESTA' PREVISTO: APERTURA DUCTO, ISPECCIÓN VISUAL, LIMPIEZA DE POLVO Y RESIDUOS, LIMPIEZA CON SOLVENTE APPROBADO, CONTROL BARRASY ISOLADORES, RESTAURACIÓN LAMINAS Y APRIETES.  ACABADA LA ACTIVIDAD, EJECUCIÓN PRUEBA DE AISLAMIENTO. INCLUIDAS TODAS LAS HERRAMIENTAS (ESCALERAS, CABALLETTES, ASPIRADOR) Y CONSUMIBLES. MEDIDA: PRECIO POR METRO LINEAR DE DUCTO BARRA.</v>
          </cell>
          <cell r="G535" t="str">
            <v>LEII0900</v>
          </cell>
          <cell r="H535" t="str">
            <v>NUM</v>
          </cell>
          <cell r="I535">
            <v>1</v>
          </cell>
          <cell r="J535">
            <v>2</v>
          </cell>
          <cell r="K535">
            <v>3</v>
          </cell>
          <cell r="L535">
            <v>6</v>
          </cell>
          <cell r="M535" t="str">
            <v>SI</v>
          </cell>
          <cell r="N535">
            <v>4</v>
          </cell>
          <cell r="O535">
            <v>3</v>
          </cell>
          <cell r="P535">
            <v>3</v>
          </cell>
          <cell r="Q535">
            <v>12</v>
          </cell>
          <cell r="R535">
            <v>9</v>
          </cell>
          <cell r="S535">
            <v>9</v>
          </cell>
          <cell r="T535">
            <v>285.41266843303328</v>
          </cell>
          <cell r="U535">
            <v>285.41266843303328</v>
          </cell>
          <cell r="V535">
            <v>285.41266843303328</v>
          </cell>
          <cell r="W535">
            <v>3424.9520211963991</v>
          </cell>
          <cell r="X535">
            <v>2568.7140158972993</v>
          </cell>
          <cell r="Y535">
            <v>5993.6660370936988</v>
          </cell>
          <cell r="Z535">
            <v>2568.7140158972993</v>
          </cell>
          <cell r="AA535">
            <v>285.41266843303328</v>
          </cell>
          <cell r="AB535">
            <v>22.522865491628611</v>
          </cell>
          <cell r="AC535">
            <v>6</v>
          </cell>
          <cell r="AD535">
            <v>43.764249039459415</v>
          </cell>
          <cell r="AE535">
            <v>70.410812057793066</v>
          </cell>
          <cell r="AF535">
            <v>14.958735242821449</v>
          </cell>
          <cell r="AG535">
            <v>21.141679143187648</v>
          </cell>
          <cell r="AH535" t="str">
            <v>Electricidad</v>
          </cell>
          <cell r="AI535">
            <v>285.41266843303328</v>
          </cell>
          <cell r="AJ535">
            <v>6</v>
          </cell>
          <cell r="AK535">
            <v>47.568778072172215</v>
          </cell>
        </row>
        <row r="536">
          <cell r="A536" t="str">
            <v>P079</v>
          </cell>
          <cell r="B536" t="str">
            <v>PREV</v>
          </cell>
          <cell r="C536" t="str">
            <v>WWOMMIM01060100500</v>
          </cell>
          <cell r="D536" t="str">
            <v>SANTA ROSA Y MALACAS</v>
          </cell>
          <cell r="E536" t="str">
            <v>SUSTITUCIÓN ACEITE HASTA 5 L</v>
          </cell>
          <cell r="F536" t="str">
            <v>ACTIVIDAD DE LUBRICACIÓN MAQUINARIA MECANICA. SOSTITUCIÓN ACEITE EN LAS MAQUINARIAS ROTATIVAS POR CANTIDADES HASTA 5 LITROS</v>
          </cell>
          <cell r="G536" t="str">
            <v>MMIM0106</v>
          </cell>
          <cell r="H536" t="str">
            <v>NUM</v>
          </cell>
          <cell r="I536">
            <v>1</v>
          </cell>
          <cell r="J536">
            <v>1</v>
          </cell>
          <cell r="K536">
            <v>2</v>
          </cell>
          <cell r="L536">
            <v>2</v>
          </cell>
          <cell r="M536" t="str">
            <v>NO</v>
          </cell>
          <cell r="N536">
            <v>0</v>
          </cell>
          <cell r="O536">
            <v>54</v>
          </cell>
          <cell r="P536">
            <v>52</v>
          </cell>
          <cell r="Q536">
            <v>0</v>
          </cell>
          <cell r="R536">
            <v>162</v>
          </cell>
          <cell r="S536">
            <v>156</v>
          </cell>
          <cell r="T536"/>
          <cell r="U536">
            <v>82.706446800215389</v>
          </cell>
          <cell r="V536">
            <v>82.706446800215389</v>
          </cell>
          <cell r="W536">
            <v>0</v>
          </cell>
          <cell r="X536">
            <v>13398.444381634892</v>
          </cell>
          <cell r="Y536">
            <v>13398.444381634892</v>
          </cell>
          <cell r="Z536">
            <v>12902.205700833601</v>
          </cell>
          <cell r="AA536">
            <v>82.706446800215389</v>
          </cell>
          <cell r="AB536">
            <v>19.171538486527368</v>
          </cell>
          <cell r="AC536">
            <v>2</v>
          </cell>
          <cell r="AD536">
            <v>11.635447422278094</v>
          </cell>
          <cell r="AE536">
            <v>22.266799504226405</v>
          </cell>
          <cell r="AF536">
            <v>4.3347194339735529</v>
          </cell>
          <cell r="AG536">
            <v>6.1264034666826221</v>
          </cell>
          <cell r="AH536" t="str">
            <v>Mecánica</v>
          </cell>
          <cell r="AI536">
            <v>82.706446800215389</v>
          </cell>
          <cell r="AJ536">
            <v>2</v>
          </cell>
          <cell r="AK536">
            <v>41.353223400107694</v>
          </cell>
        </row>
        <row r="537">
          <cell r="A537" t="str">
            <v>C173</v>
          </cell>
          <cell r="B537" t="str">
            <v>COND</v>
          </cell>
          <cell r="C537" t="str">
            <v>WWOMMIM01060100500</v>
          </cell>
          <cell r="D537" t="str">
            <v>VENTANILLA, SANTA ROSA Y MALACAS</v>
          </cell>
          <cell r="E537" t="str">
            <v>SOSTITUCIÓN ACEITE HASTA 5 L</v>
          </cell>
          <cell r="F537" t="str">
            <v>ACTIVIDAD DE LUBRICACIÓN MAQUINARIA MECANICA. SOSTITUCIÓN ACEITE EN LAS MAQUINARIAS ROTATIVAS POR CANTIDADES HASTA 5 LITROS</v>
          </cell>
          <cell r="G537" t="str">
            <v>MMIM0100</v>
          </cell>
          <cell r="H537" t="str">
            <v>NUM</v>
          </cell>
          <cell r="I537">
            <v>1</v>
          </cell>
          <cell r="J537">
            <v>1</v>
          </cell>
          <cell r="K537">
            <v>2</v>
          </cell>
          <cell r="L537">
            <v>2</v>
          </cell>
          <cell r="M537" t="str">
            <v>NO</v>
          </cell>
          <cell r="N537">
            <v>1</v>
          </cell>
          <cell r="O537">
            <v>1</v>
          </cell>
          <cell r="P537">
            <v>1</v>
          </cell>
          <cell r="Q537">
            <v>3</v>
          </cell>
          <cell r="R537">
            <v>3</v>
          </cell>
          <cell r="S537">
            <v>3</v>
          </cell>
          <cell r="T537">
            <v>85.670584440664754</v>
          </cell>
          <cell r="U537">
            <v>85.670584440664754</v>
          </cell>
          <cell r="V537">
            <v>85.670584440664754</v>
          </cell>
          <cell r="W537">
            <v>257.01175332199426</v>
          </cell>
          <cell r="X537">
            <v>257.01175332199426</v>
          </cell>
          <cell r="Y537">
            <v>514.02350664398853</v>
          </cell>
          <cell r="Z537">
            <v>257.01175332199426</v>
          </cell>
          <cell r="AA537">
            <v>85.670584440664754</v>
          </cell>
          <cell r="AB537">
            <v>19.171538486527368</v>
          </cell>
          <cell r="AC537">
            <v>2</v>
          </cell>
          <cell r="AD537">
            <v>12.524082292194983</v>
          </cell>
          <cell r="AE537">
            <v>23.967383397804738</v>
          </cell>
          <cell r="AF537">
            <v>4.4900725597832674</v>
          </cell>
          <cell r="AG537">
            <v>6.3459692178270188</v>
          </cell>
          <cell r="AH537" t="str">
            <v>Mecánica</v>
          </cell>
          <cell r="AI537">
            <v>85.670584440664754</v>
          </cell>
          <cell r="AJ537">
            <v>2</v>
          </cell>
          <cell r="AK537">
            <v>42.835292220332377</v>
          </cell>
        </row>
        <row r="538">
          <cell r="A538" t="str">
            <v>P078</v>
          </cell>
          <cell r="B538" t="str">
            <v>PREV</v>
          </cell>
          <cell r="C538" t="str">
            <v>WWOMMIM01060100200</v>
          </cell>
          <cell r="D538" t="str">
            <v>SANTA ROSA Y MALACAS</v>
          </cell>
          <cell r="E538" t="str">
            <v>LUBRICACIÓN MAQUINARIAS ROTATIVAS</v>
          </cell>
          <cell r="F538" t="str">
            <v>ACTIVIDAD DE LUBRICACIÓN MAQUINARIA MECANICA. LUBRICACIÓN CON GRASA DE LOS SOPORTES DE LA MAQUINARIA ROTATIVA PARA CADA SOPORTE.</v>
          </cell>
          <cell r="G538" t="str">
            <v>MMIM0106</v>
          </cell>
          <cell r="H538" t="str">
            <v>NUM</v>
          </cell>
          <cell r="I538">
            <v>1</v>
          </cell>
          <cell r="J538">
            <v>1</v>
          </cell>
          <cell r="K538">
            <v>2</v>
          </cell>
          <cell r="L538">
            <v>2</v>
          </cell>
          <cell r="M538" t="str">
            <v>NO</v>
          </cell>
          <cell r="N538">
            <v>0</v>
          </cell>
          <cell r="O538">
            <v>23</v>
          </cell>
          <cell r="P538">
            <v>42</v>
          </cell>
          <cell r="Q538">
            <v>0</v>
          </cell>
          <cell r="R538">
            <v>69</v>
          </cell>
          <cell r="S538">
            <v>126</v>
          </cell>
          <cell r="T538"/>
          <cell r="U538">
            <v>85.635158830664992</v>
          </cell>
          <cell r="V538">
            <v>85.635158830664992</v>
          </cell>
          <cell r="W538">
            <v>0</v>
          </cell>
          <cell r="X538">
            <v>5908.8259593158846</v>
          </cell>
          <cell r="Y538">
            <v>5908.8259593158846</v>
          </cell>
          <cell r="Z538">
            <v>10790.030012663789</v>
          </cell>
          <cell r="AA538">
            <v>85.635158830664992</v>
          </cell>
          <cell r="AB538">
            <v>19.171538486527368</v>
          </cell>
          <cell r="AC538">
            <v>2</v>
          </cell>
          <cell r="AD538">
            <v>13.975620427880031</v>
          </cell>
          <cell r="AE538">
            <v>22.484900459534298</v>
          </cell>
          <cell r="AF538">
            <v>4.4882158716281442</v>
          </cell>
          <cell r="AG538">
            <v>6.3433450985677773</v>
          </cell>
          <cell r="AH538" t="str">
            <v>Mecánica</v>
          </cell>
          <cell r="AI538">
            <v>85.635158830664992</v>
          </cell>
          <cell r="AJ538">
            <v>2</v>
          </cell>
          <cell r="AK538">
            <v>42.817579415332496</v>
          </cell>
        </row>
        <row r="539">
          <cell r="A539" t="str">
            <v>C168</v>
          </cell>
          <cell r="B539" t="str">
            <v>COND</v>
          </cell>
          <cell r="C539" t="str">
            <v>WWOMMIM01060100200</v>
          </cell>
          <cell r="D539" t="str">
            <v>VENTANILLA, SANTA ROSA Y MALACAS</v>
          </cell>
          <cell r="E539" t="str">
            <v>LUBRICACIÓN MAQUINARIAS ROTATIVAS</v>
          </cell>
          <cell r="F539" t="str">
            <v>ACTIVIDAD DE LUBRICACIÓN MAQUINARIA MECANICA. LUBRICACIÓN CON GRASA DE LOS SOPORTES DE LA MAQUINARIA ROTATIVA PARA CADA SOPORTE.</v>
          </cell>
          <cell r="G539" t="str">
            <v>MMIM0100</v>
          </cell>
          <cell r="H539" t="str">
            <v>NUM</v>
          </cell>
          <cell r="I539">
            <v>1</v>
          </cell>
          <cell r="J539">
            <v>1</v>
          </cell>
          <cell r="K539">
            <v>2</v>
          </cell>
          <cell r="L539">
            <v>2</v>
          </cell>
          <cell r="M539" t="str">
            <v>NO</v>
          </cell>
          <cell r="N539">
            <v>1</v>
          </cell>
          <cell r="O539">
            <v>1</v>
          </cell>
          <cell r="P539">
            <v>1</v>
          </cell>
          <cell r="Q539">
            <v>3</v>
          </cell>
          <cell r="R539">
            <v>3</v>
          </cell>
          <cell r="S539">
            <v>3</v>
          </cell>
          <cell r="T539">
            <v>85.635158830664992</v>
          </cell>
          <cell r="U539">
            <v>85.635158830664992</v>
          </cell>
          <cell r="V539">
            <v>85.635158830664992</v>
          </cell>
          <cell r="W539">
            <v>256.90547649199499</v>
          </cell>
          <cell r="X539">
            <v>256.90547649199499</v>
          </cell>
          <cell r="Y539">
            <v>513.81095298398998</v>
          </cell>
          <cell r="Z539">
            <v>256.90547649199499</v>
          </cell>
          <cell r="AA539">
            <v>85.635158830664992</v>
          </cell>
          <cell r="AB539">
            <v>19.171538486527368</v>
          </cell>
          <cell r="AC539">
            <v>2</v>
          </cell>
          <cell r="AD539">
            <v>13.975620427880031</v>
          </cell>
          <cell r="AE539">
            <v>22.484900459534298</v>
          </cell>
          <cell r="AF539">
            <v>4.4882158716281442</v>
          </cell>
          <cell r="AG539">
            <v>6.3433450985677773</v>
          </cell>
          <cell r="AH539" t="str">
            <v>Mecánica</v>
          </cell>
          <cell r="AI539">
            <v>85.635158830664992</v>
          </cell>
          <cell r="AJ539">
            <v>2</v>
          </cell>
          <cell r="AK539">
            <v>42.817579415332496</v>
          </cell>
        </row>
        <row r="540">
          <cell r="A540" t="str">
            <v>P080</v>
          </cell>
          <cell r="B540" t="str">
            <v>PREV</v>
          </cell>
          <cell r="C540" t="str">
            <v>WWOMMIM01060100700</v>
          </cell>
          <cell r="D540" t="str">
            <v>VENTANILLA, SANTA ROSA Y MALACAS</v>
          </cell>
          <cell r="E540" t="str">
            <v>SUSTITUCIÓN ACEITE MAS DE 20 L</v>
          </cell>
          <cell r="F540" t="str">
            <v>ACTIVIDAD DE LUBRICACIÓN MAQUINARIA MECANICA. INTEGRACIÓN/RELLENO DE ACEITE EN LAS MAQUINARIAS ROTATIVAS POR CANTIDADES SUPERIORES A 20 LITROS</v>
          </cell>
          <cell r="G540" t="str">
            <v>MMIM0106</v>
          </cell>
          <cell r="H540" t="str">
            <v>NUM</v>
          </cell>
          <cell r="I540">
            <v>1</v>
          </cell>
          <cell r="J540">
            <v>3</v>
          </cell>
          <cell r="K540">
            <v>2</v>
          </cell>
          <cell r="L540">
            <v>6</v>
          </cell>
          <cell r="M540" t="str">
            <v>SI</v>
          </cell>
          <cell r="N540">
            <v>24</v>
          </cell>
          <cell r="O540">
            <v>4</v>
          </cell>
          <cell r="P540">
            <v>6</v>
          </cell>
          <cell r="Q540">
            <v>72</v>
          </cell>
          <cell r="R540">
            <v>12</v>
          </cell>
          <cell r="S540">
            <v>18</v>
          </cell>
          <cell r="T540">
            <v>296.77211543974954</v>
          </cell>
          <cell r="U540">
            <v>296.77211543974954</v>
          </cell>
          <cell r="V540">
            <v>296.77211543974954</v>
          </cell>
          <cell r="W540">
            <v>21367.592311661967</v>
          </cell>
          <cell r="X540">
            <v>3561.2653852769945</v>
          </cell>
          <cell r="Y540">
            <v>24928.857696938961</v>
          </cell>
          <cell r="Z540">
            <v>5341.8980779154917</v>
          </cell>
          <cell r="AA540">
            <v>296.77211543974954</v>
          </cell>
          <cell r="AB540">
            <v>19.171538486527368</v>
          </cell>
          <cell r="AC540">
            <v>6</v>
          </cell>
          <cell r="AD540">
            <v>51.280581565266893</v>
          </cell>
          <cell r="AE540">
            <v>92.925089192498973</v>
          </cell>
          <cell r="AF540">
            <v>15.554094100615803</v>
          </cell>
          <cell r="AG540">
            <v>21.983119662203674</v>
          </cell>
          <cell r="AH540" t="str">
            <v>Mecánica</v>
          </cell>
          <cell r="AI540">
            <v>296.77211543974954</v>
          </cell>
          <cell r="AJ540">
            <v>6</v>
          </cell>
          <cell r="AK540">
            <v>49.462019239958259</v>
          </cell>
        </row>
        <row r="541">
          <cell r="A541" t="str">
            <v>C174</v>
          </cell>
          <cell r="B541" t="str">
            <v>COND</v>
          </cell>
          <cell r="C541" t="str">
            <v>WWOMMIM01060100700</v>
          </cell>
          <cell r="D541" t="str">
            <v>VENTANILLA, SANTA ROSA Y MALACAS</v>
          </cell>
          <cell r="E541" t="str">
            <v>SOSTITUCIÓN ACEITE MAS DE 20 L</v>
          </cell>
          <cell r="F541" t="str">
            <v>ACTIVIDAD DE LUBRICACIÓN MAQUINARIA MECANICA. INTEGRACIÓN/RELLENO DE ACEITE EN LAS MAQUINARIAS ROTATIVAS POR CANTIDADES SUPERIORES A 20 LITROS</v>
          </cell>
          <cell r="G541" t="str">
            <v>MMIM0100</v>
          </cell>
          <cell r="H541" t="str">
            <v>NUM</v>
          </cell>
          <cell r="I541">
            <v>1</v>
          </cell>
          <cell r="J541">
            <v>4</v>
          </cell>
          <cell r="K541">
            <v>2</v>
          </cell>
          <cell r="L541">
            <v>8</v>
          </cell>
          <cell r="M541" t="str">
            <v>SI</v>
          </cell>
          <cell r="N541">
            <v>1</v>
          </cell>
          <cell r="O541">
            <v>1</v>
          </cell>
          <cell r="P541">
            <v>1</v>
          </cell>
          <cell r="Q541">
            <v>3</v>
          </cell>
          <cell r="R541">
            <v>3</v>
          </cell>
          <cell r="S541">
            <v>3</v>
          </cell>
          <cell r="T541">
            <v>342.54063532265997</v>
          </cell>
          <cell r="U541">
            <v>342.54063532265997</v>
          </cell>
          <cell r="V541">
            <v>342.54063532265997</v>
          </cell>
          <cell r="W541">
            <v>1027.62190596798</v>
          </cell>
          <cell r="X541">
            <v>1027.62190596798</v>
          </cell>
          <cell r="Y541">
            <v>2055.2438119359599</v>
          </cell>
          <cell r="Z541">
            <v>1027.62190596798</v>
          </cell>
          <cell r="AA541">
            <v>342.54063532265997</v>
          </cell>
          <cell r="AB541">
            <v>19.171538486527368</v>
          </cell>
          <cell r="AC541">
            <v>8</v>
          </cell>
          <cell r="AD541">
            <v>55.902481711520117</v>
          </cell>
          <cell r="AE541">
            <v>89.939601838137179</v>
          </cell>
          <cell r="AF541">
            <v>17.952863486512577</v>
          </cell>
          <cell r="AG541">
            <v>25.373380394271109</v>
          </cell>
          <cell r="AH541" t="str">
            <v>Mecánica</v>
          </cell>
          <cell r="AI541">
            <v>342.54063532265997</v>
          </cell>
          <cell r="AJ541">
            <v>8</v>
          </cell>
          <cell r="AK541">
            <v>42.817579415332496</v>
          </cell>
        </row>
        <row r="542">
          <cell r="A542" t="str">
            <v>C170</v>
          </cell>
          <cell r="B542" t="str">
            <v>COND</v>
          </cell>
          <cell r="C542" t="str">
            <v>WWOMMIM01060100300</v>
          </cell>
          <cell r="D542" t="str">
            <v>VENTANILLA, SANTA ROSA Y MALACAS</v>
          </cell>
          <cell r="E542" t="str">
            <v>REPOSICIÓN ACEITE HASTA 0,5 L</v>
          </cell>
          <cell r="F542" t="str">
            <v>ACTIVIDAD DE LUBRICACIÓN MAQUINARIA MECANICA. INTEGRACIÓN/RELLENO DE ACEITE EN LAS MAQUINARIAS ROTATIVAS POR CANTIDADES HASTA 0,5 LITROS</v>
          </cell>
          <cell r="G542" t="str">
            <v>MMIM0100</v>
          </cell>
          <cell r="H542" t="str">
            <v>NUM</v>
          </cell>
          <cell r="I542">
            <v>1</v>
          </cell>
          <cell r="J542">
            <v>0.5</v>
          </cell>
          <cell r="K542">
            <v>2</v>
          </cell>
          <cell r="L542">
            <v>1</v>
          </cell>
          <cell r="M542" t="str">
            <v>NO</v>
          </cell>
          <cell r="N542">
            <v>4</v>
          </cell>
          <cell r="O542">
            <v>3</v>
          </cell>
          <cell r="P542">
            <v>3</v>
          </cell>
          <cell r="Q542">
            <v>12</v>
          </cell>
          <cell r="R542">
            <v>9</v>
          </cell>
          <cell r="S542">
            <v>9</v>
          </cell>
          <cell r="T542">
            <v>42.817008821628178</v>
          </cell>
          <cell r="U542">
            <v>42.817008821628178</v>
          </cell>
          <cell r="V542">
            <v>42.817008821628178</v>
          </cell>
          <cell r="W542">
            <v>513.80410585953814</v>
          </cell>
          <cell r="X542">
            <v>385.35307939465361</v>
          </cell>
          <cell r="Y542">
            <v>899.15718525419175</v>
          </cell>
          <cell r="Z542">
            <v>385.35307939465361</v>
          </cell>
          <cell r="AA542">
            <v>42.817008821628178</v>
          </cell>
          <cell r="AB542">
            <v>19.171538486527368</v>
          </cell>
          <cell r="AC542">
            <v>1</v>
          </cell>
          <cell r="AD542">
            <v>6.9876191645819352</v>
          </cell>
          <cell r="AE542">
            <v>11.242142856951649</v>
          </cell>
          <cell r="AF542">
            <v>2.2440780304836574</v>
          </cell>
          <cell r="AG542">
            <v>3.171630283083569</v>
          </cell>
          <cell r="AH542" t="str">
            <v>Mecánica</v>
          </cell>
          <cell r="AI542">
            <v>42.817008821628178</v>
          </cell>
          <cell r="AJ542">
            <v>1</v>
          </cell>
          <cell r="AK542">
            <v>42.817008821628178</v>
          </cell>
        </row>
        <row r="543">
          <cell r="A543" t="str">
            <v>C172</v>
          </cell>
          <cell r="B543" t="str">
            <v>COND</v>
          </cell>
          <cell r="C543" t="str">
            <v>WWOMMIM01060100600</v>
          </cell>
          <cell r="D543" t="str">
            <v>VENTANILLA, SANTA ROSA Y MALACAS</v>
          </cell>
          <cell r="E543" t="str">
            <v>SOSTITUCIÓN ACEITE HASTA 20 L</v>
          </cell>
          <cell r="F543" t="str">
            <v>ACTIVIDAD DE LUBRICACIÓN MAQUINARIA MECANICA. INTEGRACIÓN/RELLENO DE ACEITE EN LAS MAQUINARIAS ROTATIVAS POR CANTIDADES DESDE 5 LITROS HASTA 20 LITROS</v>
          </cell>
          <cell r="G543" t="str">
            <v>MMIM0100</v>
          </cell>
          <cell r="H543" t="str">
            <v>NUM</v>
          </cell>
          <cell r="I543">
            <v>1</v>
          </cell>
          <cell r="J543">
            <v>2</v>
          </cell>
          <cell r="K543">
            <v>2</v>
          </cell>
          <cell r="L543">
            <v>4</v>
          </cell>
          <cell r="M543" t="str">
            <v>NO</v>
          </cell>
          <cell r="N543">
            <v>4</v>
          </cell>
          <cell r="O543">
            <v>3</v>
          </cell>
          <cell r="P543">
            <v>3</v>
          </cell>
          <cell r="Q543">
            <v>12</v>
          </cell>
          <cell r="R543">
            <v>9</v>
          </cell>
          <cell r="S543">
            <v>9</v>
          </cell>
          <cell r="T543">
            <v>171.27031766132998</v>
          </cell>
          <cell r="U543">
            <v>171.27031766132998</v>
          </cell>
          <cell r="V543">
            <v>171.27031766132998</v>
          </cell>
          <cell r="W543">
            <v>2055.2438119359599</v>
          </cell>
          <cell r="X543">
            <v>1541.4328589519698</v>
          </cell>
          <cell r="Y543">
            <v>3596.6766708879295</v>
          </cell>
          <cell r="Z543">
            <v>1541.4328589519698</v>
          </cell>
          <cell r="AA543">
            <v>171.27031766132998</v>
          </cell>
          <cell r="AB543">
            <v>19.171538486527368</v>
          </cell>
          <cell r="AC543">
            <v>4</v>
          </cell>
          <cell r="AD543">
            <v>27.951240855760062</v>
          </cell>
          <cell r="AE543">
            <v>44.969800919068597</v>
          </cell>
          <cell r="AF543">
            <v>8.9764317432562883</v>
          </cell>
          <cell r="AG543">
            <v>12.686690197135555</v>
          </cell>
          <cell r="AH543" t="str">
            <v>Mecánica</v>
          </cell>
          <cell r="AI543">
            <v>171.27031766132998</v>
          </cell>
          <cell r="AJ543">
            <v>4</v>
          </cell>
          <cell r="AK543">
            <v>42.817579415332496</v>
          </cell>
        </row>
        <row r="544">
          <cell r="A544" t="str">
            <v>C171</v>
          </cell>
          <cell r="B544" t="str">
            <v>COND</v>
          </cell>
          <cell r="C544" t="str">
            <v>WWOMMIM01060100400</v>
          </cell>
          <cell r="D544" t="str">
            <v>VENTANILLA, SANTA ROSA Y MALACAS</v>
          </cell>
          <cell r="E544" t="str">
            <v>REPOSICIÓN ACEITE HASTA 5 L</v>
          </cell>
          <cell r="F544" t="str">
            <v>ACTIVIDAD DE LUBRICACIÓN MAQUINARIA MECANICA. INTEGRACIÓN/RELLENO DE ACEITE EN LAS MAQUINARIAS ROTATIVAS POR CANTIDADES DESDE 0,5 LITROS HASTA 5 LITROS</v>
          </cell>
          <cell r="G544" t="str">
            <v>MMIM0100</v>
          </cell>
          <cell r="H544" t="str">
            <v>NUM</v>
          </cell>
          <cell r="I544">
            <v>1</v>
          </cell>
          <cell r="J544">
            <v>1</v>
          </cell>
          <cell r="K544">
            <v>2</v>
          </cell>
          <cell r="L544">
            <v>2</v>
          </cell>
          <cell r="M544" t="str">
            <v>NO</v>
          </cell>
          <cell r="N544">
            <v>4</v>
          </cell>
          <cell r="O544">
            <v>3</v>
          </cell>
          <cell r="P544">
            <v>3</v>
          </cell>
          <cell r="Q544">
            <v>12</v>
          </cell>
          <cell r="R544">
            <v>9</v>
          </cell>
          <cell r="S544">
            <v>9</v>
          </cell>
          <cell r="T544">
            <v>85.635158830664992</v>
          </cell>
          <cell r="U544">
            <v>85.635158830664992</v>
          </cell>
          <cell r="V544">
            <v>85.635158830664992</v>
          </cell>
          <cell r="W544">
            <v>1027.62190596798</v>
          </cell>
          <cell r="X544">
            <v>770.71642947598491</v>
          </cell>
          <cell r="Y544">
            <v>1798.3383354439648</v>
          </cell>
          <cell r="Z544">
            <v>770.71642947598491</v>
          </cell>
          <cell r="AA544">
            <v>85.635158830664992</v>
          </cell>
          <cell r="AB544">
            <v>19.171538486527368</v>
          </cell>
          <cell r="AC544">
            <v>2</v>
          </cell>
          <cell r="AD544">
            <v>13.975620427880031</v>
          </cell>
          <cell r="AE544">
            <v>22.484900459534298</v>
          </cell>
          <cell r="AF544">
            <v>4.4882158716281442</v>
          </cell>
          <cell r="AG544">
            <v>6.3433450985677773</v>
          </cell>
          <cell r="AH544" t="str">
            <v>Mecánica</v>
          </cell>
          <cell r="AI544">
            <v>85.635158830664992</v>
          </cell>
          <cell r="AJ544">
            <v>2</v>
          </cell>
          <cell r="AK544">
            <v>42.817579415332496</v>
          </cell>
        </row>
        <row r="545">
          <cell r="A545" t="str">
            <v>C187</v>
          </cell>
          <cell r="B545" t="str">
            <v>COND</v>
          </cell>
          <cell r="C545" t="str">
            <v>WWOMMIM01060202300</v>
          </cell>
          <cell r="D545" t="str">
            <v>VENTANILLA, SANTA ROSA Y MALACAS</v>
          </cell>
          <cell r="E545" t="str">
            <v>BOMBA CENTRÍF&gt;130&lt;250KW: REP FUGA BRDA</v>
          </cell>
          <cell r="F545" t="str">
            <v>ACTIVIDAD DE ELIMINACIÓN FUGAS DE UN ACOPLAMIENTO BRIDADO ENTRE BOMBA Y TUBERIA/PROCESO. PUEDE INCLUIR: APRIETE TORNILLERIA, SUSTITUCIÓN JUNATS, LIMPIEZAS SUPERFICIES DE ACOPLE, ETC</v>
          </cell>
          <cell r="G545" t="str">
            <v>MMIM0100</v>
          </cell>
          <cell r="H545" t="str">
            <v>NUM</v>
          </cell>
          <cell r="I545">
            <v>1</v>
          </cell>
          <cell r="J545">
            <v>6</v>
          </cell>
          <cell r="K545">
            <v>3</v>
          </cell>
          <cell r="L545">
            <v>18</v>
          </cell>
          <cell r="M545" t="str">
            <v>SI</v>
          </cell>
          <cell r="N545">
            <v>4</v>
          </cell>
          <cell r="O545">
            <v>3</v>
          </cell>
          <cell r="P545">
            <v>3</v>
          </cell>
          <cell r="Q545">
            <v>12</v>
          </cell>
          <cell r="R545">
            <v>9</v>
          </cell>
          <cell r="S545">
            <v>9</v>
          </cell>
          <cell r="T545">
            <v>844.26125454826615</v>
          </cell>
          <cell r="U545">
            <v>844.26125454826615</v>
          </cell>
          <cell r="V545">
            <v>844.26125454826615</v>
          </cell>
          <cell r="W545">
            <v>10131.135054579194</v>
          </cell>
          <cell r="X545">
            <v>7598.3512909343954</v>
          </cell>
          <cell r="Y545">
            <v>17729.486345513589</v>
          </cell>
          <cell r="Z545">
            <v>7598.3512909343954</v>
          </cell>
          <cell r="AA545">
            <v>844.26125454826615</v>
          </cell>
          <cell r="AB545">
            <v>21.533127692412709</v>
          </cell>
          <cell r="AC545">
            <v>18</v>
          </cell>
          <cell r="AD545">
            <v>124.41936283285619</v>
          </cell>
          <cell r="AE545">
            <v>225.45922911974063</v>
          </cell>
          <cell r="AF545">
            <v>44.248493424961531</v>
          </cell>
          <cell r="AG545">
            <v>62.537870707278969</v>
          </cell>
          <cell r="AH545" t="str">
            <v>Mecánica</v>
          </cell>
          <cell r="AI545">
            <v>844.26125454826615</v>
          </cell>
          <cell r="AJ545">
            <v>18</v>
          </cell>
          <cell r="AK545">
            <v>46.903403030459231</v>
          </cell>
        </row>
        <row r="546">
          <cell r="A546" t="str">
            <v>C189</v>
          </cell>
          <cell r="B546" t="str">
            <v>COND</v>
          </cell>
          <cell r="C546" t="str">
            <v>WWOMMIM01060200500</v>
          </cell>
          <cell r="D546" t="str">
            <v>VENTANILLA, SANTA ROSA Y MALACAS</v>
          </cell>
          <cell r="E546" t="str">
            <v>BOMBA CENTRÍFUGA &lt;10KW: REPAR FUGA BRIDA</v>
          </cell>
          <cell r="F546" t="str">
            <v>ACTIVIDAD DE ELIMINACIÓN FUGAS DE UN ACOPLAMIENTO BRIDADO ENTRE BOMBA Y TUBERIA/PROCESO. PUEDE INCLUIR: APRIETE TORNILLERIA, SUSTITUCIÓN JUNATS, LIMPIEZAS SUPERFICIES DE ACOPLE, ETC</v>
          </cell>
          <cell r="G546" t="str">
            <v>MMIM0100</v>
          </cell>
          <cell r="H546" t="str">
            <v>NUM</v>
          </cell>
          <cell r="I546">
            <v>1</v>
          </cell>
          <cell r="J546">
            <v>4</v>
          </cell>
          <cell r="K546">
            <v>2</v>
          </cell>
          <cell r="L546">
            <v>8</v>
          </cell>
          <cell r="M546" t="str">
            <v>NO</v>
          </cell>
          <cell r="N546">
            <v>4</v>
          </cell>
          <cell r="O546">
            <v>3</v>
          </cell>
          <cell r="P546">
            <v>3</v>
          </cell>
          <cell r="Q546">
            <v>12</v>
          </cell>
          <cell r="R546">
            <v>9</v>
          </cell>
          <cell r="S546">
            <v>9</v>
          </cell>
          <cell r="T546">
            <v>359.38152753390045</v>
          </cell>
          <cell r="U546">
            <v>359.38152753390045</v>
          </cell>
          <cell r="V546">
            <v>359.38152753390045</v>
          </cell>
          <cell r="W546">
            <v>4312.5783304068054</v>
          </cell>
          <cell r="X546">
            <v>3234.4337478051038</v>
          </cell>
          <cell r="Y546">
            <v>7547.0120782119093</v>
          </cell>
          <cell r="Z546">
            <v>3234.4337478051038</v>
          </cell>
          <cell r="AA546">
            <v>359.38152753390045</v>
          </cell>
          <cell r="AB546">
            <v>20.776439546856693</v>
          </cell>
          <cell r="AC546">
            <v>8</v>
          </cell>
          <cell r="AD546">
            <v>56.619867691888238</v>
          </cell>
          <cell r="AE546">
            <v>91.093779746937869</v>
          </cell>
          <cell r="AF546">
            <v>18.835509828820779</v>
          </cell>
          <cell r="AG546">
            <v>26.620853891400035</v>
          </cell>
          <cell r="AH546" t="str">
            <v>Mecánica</v>
          </cell>
          <cell r="AI546">
            <v>359.38152753390045</v>
          </cell>
          <cell r="AJ546">
            <v>8</v>
          </cell>
          <cell r="AK546">
            <v>44.922690941737557</v>
          </cell>
        </row>
        <row r="547">
          <cell r="A547" t="str">
            <v>C198</v>
          </cell>
          <cell r="B547" t="str">
            <v>COND</v>
          </cell>
          <cell r="C547" t="str">
            <v>WWOMMIM01060201100</v>
          </cell>
          <cell r="D547" t="str">
            <v>VENTANILLA, SANTA ROSA Y MALACAS</v>
          </cell>
          <cell r="E547" t="str">
            <v>BOMBA CENTRÍFUGA&gt;10&lt;50KW: REP FUGA BRIDA</v>
          </cell>
          <cell r="F547" t="str">
            <v>ACTIVIDAD DE ELIMINACIÓN FUGAS DE UN ACOPLAMIENTO BRIDADO ENTRE BOMBA Y TUBERIA/PROCESO. PUEDE INCLUIR: APRIETE TORNILLERIA, SUSTITUCIÓN JUNATS, LIMPIEZAS SUPERFICIES DE ACOPLE, ETC</v>
          </cell>
          <cell r="G547" t="str">
            <v>MMIM0100</v>
          </cell>
          <cell r="H547" t="str">
            <v>NUM</v>
          </cell>
          <cell r="I547">
            <v>1</v>
          </cell>
          <cell r="J547">
            <v>4</v>
          </cell>
          <cell r="K547">
            <v>2</v>
          </cell>
          <cell r="L547">
            <v>8</v>
          </cell>
          <cell r="M547" t="str">
            <v>DEPENDE DE CONTEXTO, ALTURA, CONFINADO.</v>
          </cell>
          <cell r="N547">
            <v>4</v>
          </cell>
          <cell r="O547">
            <v>3</v>
          </cell>
          <cell r="P547">
            <v>3</v>
          </cell>
          <cell r="Q547">
            <v>12</v>
          </cell>
          <cell r="R547">
            <v>9</v>
          </cell>
          <cell r="S547">
            <v>9</v>
          </cell>
          <cell r="T547">
            <v>359.38152753390051</v>
          </cell>
          <cell r="U547">
            <v>359.38152753390051</v>
          </cell>
          <cell r="V547">
            <v>359.38152753390051</v>
          </cell>
          <cell r="W547">
            <v>4312.5783304068063</v>
          </cell>
          <cell r="X547">
            <v>3234.4337478051048</v>
          </cell>
          <cell r="Y547">
            <v>7547.0120782119111</v>
          </cell>
          <cell r="Z547">
            <v>3234.4337478051048</v>
          </cell>
          <cell r="AA547">
            <v>359.38152753390051</v>
          </cell>
          <cell r="AB547">
            <v>20.776439546856693</v>
          </cell>
          <cell r="AC547">
            <v>8</v>
          </cell>
          <cell r="AD547">
            <v>56.61986769188826</v>
          </cell>
          <cell r="AE547">
            <v>91.093779746937898</v>
          </cell>
          <cell r="AF547">
            <v>18.835509828820783</v>
          </cell>
          <cell r="AG547">
            <v>26.620853891400039</v>
          </cell>
          <cell r="AH547" t="str">
            <v>Mecánica</v>
          </cell>
          <cell r="AI547">
            <v>359.38152753390051</v>
          </cell>
          <cell r="AJ547">
            <v>8</v>
          </cell>
          <cell r="AK547">
            <v>44.922690941737564</v>
          </cell>
        </row>
        <row r="548">
          <cell r="A548" t="str">
            <v>C203</v>
          </cell>
          <cell r="B548" t="str">
            <v>COND</v>
          </cell>
          <cell r="C548" t="str">
            <v>WWOMMIM01060202900</v>
          </cell>
          <cell r="D548" t="str">
            <v>VENTANILLA, SANTA ROSA Y MALACAS</v>
          </cell>
          <cell r="E548" t="str">
            <v>BOMBA CENTRÍFUGA&gt;250KW: REP FUGA BRDA</v>
          </cell>
          <cell r="F548" t="str">
            <v>ACTIVIDAD DE ELIMINACIÓN FUGAS DE UN ACOPLAMIENTO BRIDADO ENTRE BOMBA Y TUBERIA/PROCESO. PUEDE INCLUIR: APRIETE TORNILLERIA, SUSTITUCIÓN JUNATS, LIMPIEZAS SUPERFICIES DE ACOPLE, ETC</v>
          </cell>
          <cell r="G548" t="str">
            <v>MMIM0100</v>
          </cell>
          <cell r="H548" t="str">
            <v>NUM</v>
          </cell>
          <cell r="I548">
            <v>1</v>
          </cell>
          <cell r="J548">
            <v>4</v>
          </cell>
          <cell r="K548">
            <v>3</v>
          </cell>
          <cell r="L548">
            <v>12</v>
          </cell>
          <cell r="M548" t="str">
            <v>SI</v>
          </cell>
          <cell r="N548">
            <v>4</v>
          </cell>
          <cell r="O548">
            <v>3</v>
          </cell>
          <cell r="P548">
            <v>3</v>
          </cell>
          <cell r="Q548">
            <v>12</v>
          </cell>
          <cell r="R548">
            <v>9</v>
          </cell>
          <cell r="S548">
            <v>9</v>
          </cell>
          <cell r="T548">
            <v>549.05691745661204</v>
          </cell>
          <cell r="U548">
            <v>549.05691745661204</v>
          </cell>
          <cell r="V548">
            <v>549.05691745661204</v>
          </cell>
          <cell r="W548">
            <v>6588.683009479344</v>
          </cell>
          <cell r="X548">
            <v>4941.512257109508</v>
          </cell>
          <cell r="Y548">
            <v>11530.195266588853</v>
          </cell>
          <cell r="Z548">
            <v>4941.512257109508</v>
          </cell>
          <cell r="AA548">
            <v>549.05691745661204</v>
          </cell>
          <cell r="AB548">
            <v>21.533127692412709</v>
          </cell>
          <cell r="AC548">
            <v>12</v>
          </cell>
          <cell r="AD548">
            <v>84.792371410428572</v>
          </cell>
          <cell r="AE548">
            <v>136.41956296179643</v>
          </cell>
          <cell r="AF548">
            <v>28.77656800087065</v>
          </cell>
          <cell r="AG548">
            <v>40.670882774563857</v>
          </cell>
          <cell r="AH548" t="str">
            <v>Mecánica</v>
          </cell>
          <cell r="AI548">
            <v>549.05691745661204</v>
          </cell>
          <cell r="AJ548">
            <v>12</v>
          </cell>
          <cell r="AK548">
            <v>45.754743121384337</v>
          </cell>
        </row>
        <row r="549">
          <cell r="A549" t="str">
            <v>C205</v>
          </cell>
          <cell r="B549" t="str">
            <v>COND</v>
          </cell>
          <cell r="C549" t="str">
            <v>WWOMMIM01060201700</v>
          </cell>
          <cell r="D549" t="str">
            <v>VENTANILLA, SANTA ROSA Y MALACAS</v>
          </cell>
          <cell r="E549" t="str">
            <v>BOMBA CENTRÍFUGA&gt;50&lt;130KW: REP FUGA BRDA</v>
          </cell>
          <cell r="F549" t="str">
            <v>ACTIVIDAD DE ELIMINACIÓN FUGAS DE UN ACOPLAMIENTO BRIDADO ENTRE BOMBA Y TUBERIA/PROCESO. PUEDE INCLUIR: APRIETE TORNILLERIA, SUSTITUCIÓN JUNATS, LIMPIEZAS SUPERFICIES DE ACOPLE, ETC</v>
          </cell>
          <cell r="G549" t="str">
            <v>MMIM0100</v>
          </cell>
          <cell r="H549" t="str">
            <v>NUM</v>
          </cell>
          <cell r="I549">
            <v>1</v>
          </cell>
          <cell r="J549">
            <v>5</v>
          </cell>
          <cell r="K549">
            <v>2</v>
          </cell>
          <cell r="L549">
            <v>10</v>
          </cell>
          <cell r="M549" t="str">
            <v>DEPENDE DE CONTEXTO, ALTURA, CONFINADO.</v>
          </cell>
          <cell r="N549">
            <v>4</v>
          </cell>
          <cell r="O549">
            <v>3</v>
          </cell>
          <cell r="P549">
            <v>3</v>
          </cell>
          <cell r="Q549">
            <v>12</v>
          </cell>
          <cell r="R549">
            <v>9</v>
          </cell>
          <cell r="S549">
            <v>9</v>
          </cell>
          <cell r="T549">
            <v>449.22690941737557</v>
          </cell>
          <cell r="U549">
            <v>449.22690941737557</v>
          </cell>
          <cell r="V549">
            <v>449.22690941737557</v>
          </cell>
          <cell r="W549">
            <v>5390.722913008507</v>
          </cell>
          <cell r="X549">
            <v>4043.0421847563803</v>
          </cell>
          <cell r="Y549">
            <v>9433.7650977648882</v>
          </cell>
          <cell r="Z549">
            <v>4043.0421847563803</v>
          </cell>
          <cell r="AA549">
            <v>449.22690941737557</v>
          </cell>
          <cell r="AB549">
            <v>20.776439546856693</v>
          </cell>
          <cell r="AC549">
            <v>10</v>
          </cell>
          <cell r="AD549">
            <v>70.774834614860282</v>
          </cell>
          <cell r="AE549">
            <v>113.86722468367229</v>
          </cell>
          <cell r="AF549">
            <v>23.544387286025973</v>
          </cell>
          <cell r="AG549">
            <v>33.276067364250046</v>
          </cell>
          <cell r="AH549" t="str">
            <v>Mecánica</v>
          </cell>
          <cell r="AI549">
            <v>449.22690941737557</v>
          </cell>
          <cell r="AJ549">
            <v>10</v>
          </cell>
          <cell r="AK549">
            <v>44.922690941737557</v>
          </cell>
        </row>
        <row r="550">
          <cell r="A550" t="str">
            <v>C050</v>
          </cell>
          <cell r="B550" t="str">
            <v>COND</v>
          </cell>
          <cell r="C550" t="str">
            <v>WWOLEII09080301900</v>
          </cell>
          <cell r="D550" t="str">
            <v>VENTANILLA, SANTA ROSA Y MALACAS</v>
          </cell>
          <cell r="E550" t="str">
            <v>MONTAJE/DESMONTAJE TRANSM TEMPERATURA</v>
          </cell>
          <cell r="F550" t="str">
            <v>ACTIVIDAD DE DESMONTAJE Y REMONTAJE DE TRANSMISORES DE TEMPERATURA. INCLUYE DESCONEXION Y RECONEXION ELECTRICAS Y DE PROCESO, PRUEBAS FUNCIÓNALES. CONTABILIZACIÓN: 40% DESMONTAJE, 60% REMONTAJE.</v>
          </cell>
          <cell r="G550" t="str">
            <v>LEII0900</v>
          </cell>
          <cell r="H550" t="str">
            <v>NUM</v>
          </cell>
          <cell r="I550">
            <v>1</v>
          </cell>
          <cell r="J550">
            <v>4</v>
          </cell>
          <cell r="K550">
            <v>2</v>
          </cell>
          <cell r="L550">
            <v>8</v>
          </cell>
          <cell r="M550" t="str">
            <v>NO</v>
          </cell>
          <cell r="N550">
            <v>4</v>
          </cell>
          <cell r="O550">
            <v>3</v>
          </cell>
          <cell r="P550">
            <v>3</v>
          </cell>
          <cell r="Q550">
            <v>12</v>
          </cell>
          <cell r="R550">
            <v>9</v>
          </cell>
          <cell r="S550">
            <v>9</v>
          </cell>
          <cell r="T550">
            <v>378.77307852351834</v>
          </cell>
          <cell r="U550">
            <v>378.77307852351834</v>
          </cell>
          <cell r="V550">
            <v>378.77307852351834</v>
          </cell>
          <cell r="W550">
            <v>4545.2769422822203</v>
          </cell>
          <cell r="X550">
            <v>3408.9577067116652</v>
          </cell>
          <cell r="Y550">
            <v>7954.2346489938855</v>
          </cell>
          <cell r="Z550">
            <v>3408.9577067116652</v>
          </cell>
          <cell r="AA550">
            <v>378.77307852351834</v>
          </cell>
          <cell r="AB550">
            <v>23.466564118731693</v>
          </cell>
          <cell r="AC550">
            <v>8</v>
          </cell>
          <cell r="AD550">
            <v>54.863477962579843</v>
          </cell>
          <cell r="AE550">
            <v>88.267984038228974</v>
          </cell>
          <cell r="AF550">
            <v>19.851838497039743</v>
          </cell>
          <cell r="AG550">
            <v>28.057265075816172</v>
          </cell>
          <cell r="AH550" t="str">
            <v>Instrumentación</v>
          </cell>
          <cell r="AI550">
            <v>378.77307852351834</v>
          </cell>
          <cell r="AJ550">
            <v>8</v>
          </cell>
          <cell r="AK550">
            <v>47.346634815439792</v>
          </cell>
        </row>
        <row r="551">
          <cell r="A551" t="str">
            <v>C052</v>
          </cell>
          <cell r="B551" t="str">
            <v>COND</v>
          </cell>
          <cell r="C551" t="str">
            <v>WWOLEII09080301700</v>
          </cell>
          <cell r="D551" t="str">
            <v>VENTANILLA, SANTA ROSA Y MALACAS</v>
          </cell>
          <cell r="E551" t="str">
            <v>MONTAJE/DESMONTAJE TRANSMISOR DE PRESIÓN</v>
          </cell>
          <cell r="F551" t="str">
            <v>ACTIVIDAD DE DESMONTAJE Y REMONTAJE DE TRANSMISORES DE PRESIÓN. INCLUYE DESCONEXION Y RECONEXION ELECTRICAS Y DE PROCESO, PRUEBAS FUNCIÓNALES. CONTABILIZACIÓN: 40% DESMONTAJE, 60% REMONTAJE.</v>
          </cell>
          <cell r="G551" t="str">
            <v>LEII0900</v>
          </cell>
          <cell r="H551" t="str">
            <v>NUM</v>
          </cell>
          <cell r="I551">
            <v>1</v>
          </cell>
          <cell r="J551">
            <v>4</v>
          </cell>
          <cell r="K551">
            <v>2</v>
          </cell>
          <cell r="L551">
            <v>8</v>
          </cell>
          <cell r="M551" t="str">
            <v>NO</v>
          </cell>
          <cell r="N551">
            <v>4</v>
          </cell>
          <cell r="O551">
            <v>3</v>
          </cell>
          <cell r="P551">
            <v>3</v>
          </cell>
          <cell r="Q551">
            <v>12</v>
          </cell>
          <cell r="R551">
            <v>9</v>
          </cell>
          <cell r="S551">
            <v>9</v>
          </cell>
          <cell r="T551">
            <v>387.96235779611703</v>
          </cell>
          <cell r="U551">
            <v>387.96235779611703</v>
          </cell>
          <cell r="V551">
            <v>387.96235779611703</v>
          </cell>
          <cell r="W551">
            <v>4655.5482935534046</v>
          </cell>
          <cell r="X551">
            <v>3491.6612201650532</v>
          </cell>
          <cell r="Y551">
            <v>8147.2095137184579</v>
          </cell>
          <cell r="Z551">
            <v>3491.6612201650532</v>
          </cell>
          <cell r="AA551">
            <v>387.96235779611703</v>
          </cell>
          <cell r="AB551">
            <v>23.466564118731693</v>
          </cell>
          <cell r="AC551">
            <v>8</v>
          </cell>
          <cell r="AD551">
            <v>53.753035096914537</v>
          </cell>
          <cell r="AE551">
            <v>97.405400412453659</v>
          </cell>
          <cell r="AF551">
            <v>20.333456907553305</v>
          </cell>
          <cell r="AG551">
            <v>28.737952429342005</v>
          </cell>
          <cell r="AH551" t="str">
            <v>Instrumentación</v>
          </cell>
          <cell r="AI551">
            <v>387.96235779611703</v>
          </cell>
          <cell r="AJ551">
            <v>8</v>
          </cell>
          <cell r="AK551">
            <v>48.495294724514629</v>
          </cell>
        </row>
        <row r="552">
          <cell r="A552" t="str">
            <v>C051</v>
          </cell>
          <cell r="B552" t="str">
            <v>COND</v>
          </cell>
          <cell r="C552" t="str">
            <v>WWOLEII09080302500</v>
          </cell>
          <cell r="D552" t="str">
            <v>VENTANILLA, SANTA ROSA Y MALACAS</v>
          </cell>
          <cell r="E552" t="str">
            <v>MONTAJE/DESMONTAJE TRANSMISOR DE NIVEL</v>
          </cell>
          <cell r="F552" t="str">
            <v>ACTIVIDAD DE DESMONTAJE Y REMONTAJE DE TRANSMISORES DE NIVEL DE CUALQUIER TIPO. INCLUYE DESCONEXION Y RECONEXION ELECTRICAS Y DE PROCESO, PRUEBAS FUNCIÓNALES. CONTABILIZACIÓN: 40% DESMONTAJE, 60% REMONTAJE.</v>
          </cell>
          <cell r="G552" t="str">
            <v>LEII0900</v>
          </cell>
          <cell r="H552" t="str">
            <v>NUM</v>
          </cell>
          <cell r="I552">
            <v>1</v>
          </cell>
          <cell r="J552">
            <v>4</v>
          </cell>
          <cell r="K552">
            <v>2</v>
          </cell>
          <cell r="L552">
            <v>8</v>
          </cell>
          <cell r="M552" t="str">
            <v>NO</v>
          </cell>
          <cell r="N552">
            <v>4</v>
          </cell>
          <cell r="O552">
            <v>3</v>
          </cell>
          <cell r="P552">
            <v>3</v>
          </cell>
          <cell r="Q552">
            <v>12</v>
          </cell>
          <cell r="R552">
            <v>9</v>
          </cell>
          <cell r="S552">
            <v>9</v>
          </cell>
          <cell r="T552">
            <v>378.77307852351834</v>
          </cell>
          <cell r="U552">
            <v>378.77307852351834</v>
          </cell>
          <cell r="V552">
            <v>378.77307852351834</v>
          </cell>
          <cell r="W552">
            <v>4545.2769422822203</v>
          </cell>
          <cell r="X552">
            <v>3408.9577067116652</v>
          </cell>
          <cell r="Y552">
            <v>7954.2346489938855</v>
          </cell>
          <cell r="Z552">
            <v>3408.9577067116652</v>
          </cell>
          <cell r="AA552">
            <v>378.77307852351834</v>
          </cell>
          <cell r="AB552">
            <v>23.466564118731693</v>
          </cell>
          <cell r="AC552">
            <v>8</v>
          </cell>
          <cell r="AD552">
            <v>54.863477962579843</v>
          </cell>
          <cell r="AE552">
            <v>88.267984038228974</v>
          </cell>
          <cell r="AF552">
            <v>19.851838497039743</v>
          </cell>
          <cell r="AG552">
            <v>28.057265075816172</v>
          </cell>
          <cell r="AH552" t="str">
            <v>Instrumentación</v>
          </cell>
          <cell r="AI552">
            <v>378.77307852351834</v>
          </cell>
          <cell r="AJ552">
            <v>8</v>
          </cell>
          <cell r="AK552">
            <v>47.346634815439792</v>
          </cell>
        </row>
        <row r="553">
          <cell r="A553" t="str">
            <v>C053</v>
          </cell>
          <cell r="B553" t="str">
            <v>COND</v>
          </cell>
          <cell r="C553" t="str">
            <v>WWOLEII09080301100</v>
          </cell>
          <cell r="D553" t="str">
            <v>VENTANILLA, SANTA ROSA Y MALACAS</v>
          </cell>
          <cell r="E553" t="str">
            <v>MONTAJE/DESMONTAJE TRANSMISOR POSICIÓN</v>
          </cell>
          <cell r="F553" t="str">
            <v>ACTIVIDAD DE DESMONTAJE Y REMONTAJE DE TRANSMISOR DE POSICIÓN DE CUALQUIER TIPO, TIPICAMENTE INSTALADOS SOBRE MAQUINARIAS PRINCIPALES Y AUXILIARES. INCLUYE DESCONEXION Y RECONEXION ELECTRICAS Y DE PROCESO, PRUEBAS FUNCIÓNALES. CONTABILIZACIÓN: 40% DESMONTAJE, 60% REMONTAJE.</v>
          </cell>
          <cell r="G553" t="str">
            <v>LEII0900</v>
          </cell>
          <cell r="H553" t="str">
            <v>NUM</v>
          </cell>
          <cell r="I553">
            <v>1</v>
          </cell>
          <cell r="J553">
            <v>4</v>
          </cell>
          <cell r="K553">
            <v>2</v>
          </cell>
          <cell r="L553">
            <v>8</v>
          </cell>
          <cell r="M553" t="str">
            <v>NO</v>
          </cell>
          <cell r="N553">
            <v>4</v>
          </cell>
          <cell r="O553">
            <v>3</v>
          </cell>
          <cell r="P553">
            <v>3</v>
          </cell>
          <cell r="Q553">
            <v>12</v>
          </cell>
          <cell r="R553">
            <v>9</v>
          </cell>
          <cell r="S553">
            <v>9</v>
          </cell>
          <cell r="T553">
            <v>378.77307852351834</v>
          </cell>
          <cell r="U553">
            <v>378.77307852351834</v>
          </cell>
          <cell r="V553">
            <v>378.77307852351834</v>
          </cell>
          <cell r="W553">
            <v>4545.2769422822203</v>
          </cell>
          <cell r="X553">
            <v>3408.9577067116652</v>
          </cell>
          <cell r="Y553">
            <v>7954.2346489938855</v>
          </cell>
          <cell r="Z553">
            <v>3408.9577067116652</v>
          </cell>
          <cell r="AA553">
            <v>378.77307852351834</v>
          </cell>
          <cell r="AB553">
            <v>23.466564118731693</v>
          </cell>
          <cell r="AC553">
            <v>8</v>
          </cell>
          <cell r="AD553">
            <v>54.863477962579843</v>
          </cell>
          <cell r="AE553">
            <v>88.267984038228974</v>
          </cell>
          <cell r="AF553">
            <v>19.851838497039743</v>
          </cell>
          <cell r="AG553">
            <v>28.057265075816172</v>
          </cell>
          <cell r="AH553" t="str">
            <v>Instrumentación</v>
          </cell>
          <cell r="AI553">
            <v>378.77307852351834</v>
          </cell>
          <cell r="AJ553">
            <v>8</v>
          </cell>
          <cell r="AK553">
            <v>47.346634815439792</v>
          </cell>
        </row>
        <row r="554">
          <cell r="A554" t="str">
            <v>C041</v>
          </cell>
          <cell r="B554" t="str">
            <v>COND</v>
          </cell>
          <cell r="C554" t="str">
            <v>WWOLEII09080300600</v>
          </cell>
          <cell r="D554" t="str">
            <v>VENTANILLA, SANTA ROSA Y MALACAS</v>
          </cell>
          <cell r="E554" t="str">
            <v>MONTAJE/DESMONT TRANSM CAUDAL DIFER PRES</v>
          </cell>
          <cell r="F554" t="str">
            <v>ACTIVIDAD DE DESMONTAJE Y REMONTAJE DE TRANSMISOR DE CAUDAL POR DIFERENCIA DE PRESIÓN. INCLUYE DESCONEXION Y RECONEXION ELECTRICAS Y DE PROCESO, PRUEBAS FUNCIÓNALES. CONTABILIZACIÓN: 40% DESMONTAJE, 60% REMONTAJE.</v>
          </cell>
          <cell r="G554" t="str">
            <v>LEII0900</v>
          </cell>
          <cell r="H554" t="str">
            <v>NUM</v>
          </cell>
          <cell r="I554">
            <v>1</v>
          </cell>
          <cell r="J554">
            <v>4</v>
          </cell>
          <cell r="K554">
            <v>2</v>
          </cell>
          <cell r="L554">
            <v>8</v>
          </cell>
          <cell r="M554" t="str">
            <v>NO</v>
          </cell>
          <cell r="N554">
            <v>4</v>
          </cell>
          <cell r="O554">
            <v>3</v>
          </cell>
          <cell r="P554">
            <v>3</v>
          </cell>
          <cell r="Q554">
            <v>12</v>
          </cell>
          <cell r="R554">
            <v>9</v>
          </cell>
          <cell r="S554">
            <v>9</v>
          </cell>
          <cell r="T554">
            <v>378.77307852351834</v>
          </cell>
          <cell r="U554">
            <v>378.77307852351834</v>
          </cell>
          <cell r="V554">
            <v>378.77307852351834</v>
          </cell>
          <cell r="W554">
            <v>4545.2769422822203</v>
          </cell>
          <cell r="X554">
            <v>3408.9577067116652</v>
          </cell>
          <cell r="Y554">
            <v>7954.2346489938855</v>
          </cell>
          <cell r="Z554">
            <v>3408.9577067116652</v>
          </cell>
          <cell r="AA554">
            <v>378.77307852351834</v>
          </cell>
          <cell r="AB554">
            <v>23.466564118731693</v>
          </cell>
          <cell r="AC554">
            <v>8</v>
          </cell>
          <cell r="AD554">
            <v>54.863477962579843</v>
          </cell>
          <cell r="AE554">
            <v>88.267984038228974</v>
          </cell>
          <cell r="AF554">
            <v>19.851838497039743</v>
          </cell>
          <cell r="AG554">
            <v>28.057265075816172</v>
          </cell>
          <cell r="AH554" t="str">
            <v>Instrumentación</v>
          </cell>
          <cell r="AI554">
            <v>378.77307852351834</v>
          </cell>
          <cell r="AJ554">
            <v>8</v>
          </cell>
          <cell r="AK554">
            <v>47.346634815439792</v>
          </cell>
        </row>
        <row r="555">
          <cell r="A555" t="str">
            <v>C042</v>
          </cell>
          <cell r="B555" t="str">
            <v>COND</v>
          </cell>
          <cell r="C555" t="str">
            <v>WWOLEII09080300500</v>
          </cell>
          <cell r="D555" t="str">
            <v>VENTANILLA, SANTA ROSA Y MALACAS</v>
          </cell>
          <cell r="E555" t="str">
            <v>MONTAJE/DESMONT TRANSM CAUDAL MAGNETICO</v>
          </cell>
          <cell r="F555" t="str">
            <v>ACTIVIDAD DE DESMONTAJE Y REMONTAJE DE TRANSMISOR DE CAUDAL MAGNETICO. INCLUYE DESCONEXION Y RECONEXION ELECTRICAS Y DE PROCESO, PRUEBAS FUNCIÓNALES. CONTABILIZACIÓN: 40% DESMONTAJE, 60% REMONTAJE.</v>
          </cell>
          <cell r="G555" t="str">
            <v>LEII0900</v>
          </cell>
          <cell r="H555" t="str">
            <v>NUM</v>
          </cell>
          <cell r="I555">
            <v>1</v>
          </cell>
          <cell r="J555">
            <v>4</v>
          </cell>
          <cell r="K555">
            <v>2</v>
          </cell>
          <cell r="L555">
            <v>8</v>
          </cell>
          <cell r="M555" t="str">
            <v>NO</v>
          </cell>
          <cell r="N555">
            <v>4</v>
          </cell>
          <cell r="O555">
            <v>3</v>
          </cell>
          <cell r="P555">
            <v>3</v>
          </cell>
          <cell r="Q555">
            <v>12</v>
          </cell>
          <cell r="R555">
            <v>9</v>
          </cell>
          <cell r="S555">
            <v>9</v>
          </cell>
          <cell r="T555">
            <v>378.77307852351834</v>
          </cell>
          <cell r="U555">
            <v>378.77307852351834</v>
          </cell>
          <cell r="V555">
            <v>378.77307852351834</v>
          </cell>
          <cell r="W555">
            <v>4545.2769422822203</v>
          </cell>
          <cell r="X555">
            <v>3408.9577067116652</v>
          </cell>
          <cell r="Y555">
            <v>7954.2346489938855</v>
          </cell>
          <cell r="Z555">
            <v>3408.9577067116652</v>
          </cell>
          <cell r="AA555">
            <v>378.77307852351834</v>
          </cell>
          <cell r="AB555">
            <v>23.466564118731693</v>
          </cell>
          <cell r="AC555">
            <v>8</v>
          </cell>
          <cell r="AD555">
            <v>54.863477962579843</v>
          </cell>
          <cell r="AE555">
            <v>88.267984038228974</v>
          </cell>
          <cell r="AF555">
            <v>19.851838497039743</v>
          </cell>
          <cell r="AG555">
            <v>28.057265075816172</v>
          </cell>
          <cell r="AH555" t="str">
            <v>Instrumentación</v>
          </cell>
          <cell r="AI555">
            <v>378.77307852351834</v>
          </cell>
          <cell r="AJ555">
            <v>8</v>
          </cell>
          <cell r="AK555">
            <v>47.346634815439792</v>
          </cell>
        </row>
        <row r="556">
          <cell r="A556" t="str">
            <v>C049</v>
          </cell>
          <cell r="B556" t="str">
            <v>COND</v>
          </cell>
          <cell r="C556" t="str">
            <v>WWOLEII09080303200</v>
          </cell>
          <cell r="D556" t="str">
            <v>VENTANILLA, SANTA ROSA Y MALACAS</v>
          </cell>
          <cell r="E556" t="str">
            <v>MONTAJE/DESMONTAJE TERMOPAR CON CABEZA</v>
          </cell>
          <cell r="F556" t="str">
            <v>ACTIVIDAD DE DESMONTAJE Y REMONTAJE DE TERMOPARES CON CABEZA, INDEPENDIENTEMENTE YA SEA SOLO, DOBLE O TRIPLE. INCLUYE DESCONEXION Y RECONEXION ELECTRICAS Y DE PROCESO, PRUEBAS FUNCIÓNALES. CONTABILIZACIÓN: 40% DESMONTAJE, 60% REMONTAJE.</v>
          </cell>
          <cell r="G556" t="str">
            <v>LEII0900</v>
          </cell>
          <cell r="H556" t="str">
            <v>NUM</v>
          </cell>
          <cell r="I556">
            <v>1</v>
          </cell>
          <cell r="J556">
            <v>4</v>
          </cell>
          <cell r="K556">
            <v>2</v>
          </cell>
          <cell r="L556">
            <v>8</v>
          </cell>
          <cell r="M556" t="str">
            <v>NO</v>
          </cell>
          <cell r="N556">
            <v>4</v>
          </cell>
          <cell r="O556">
            <v>3</v>
          </cell>
          <cell r="P556">
            <v>3</v>
          </cell>
          <cell r="Q556">
            <v>12</v>
          </cell>
          <cell r="R556">
            <v>9</v>
          </cell>
          <cell r="S556">
            <v>9</v>
          </cell>
          <cell r="T556">
            <v>378.77307852351839</v>
          </cell>
          <cell r="U556">
            <v>378.77307852351839</v>
          </cell>
          <cell r="V556">
            <v>378.77307852351839</v>
          </cell>
          <cell r="W556">
            <v>4545.2769422822203</v>
          </cell>
          <cell r="X556">
            <v>3408.9577067116657</v>
          </cell>
          <cell r="Y556">
            <v>7954.2346489938864</v>
          </cell>
          <cell r="Z556">
            <v>3408.9577067116657</v>
          </cell>
          <cell r="AA556">
            <v>378.77307852351839</v>
          </cell>
          <cell r="AB556">
            <v>23.466564118731693</v>
          </cell>
          <cell r="AC556">
            <v>8</v>
          </cell>
          <cell r="AD556">
            <v>54.863477962579879</v>
          </cell>
          <cell r="AE556">
            <v>88.267984038229031</v>
          </cell>
          <cell r="AF556">
            <v>19.851838497039747</v>
          </cell>
          <cell r="AG556">
            <v>28.057265075816176</v>
          </cell>
          <cell r="AH556" t="str">
            <v>Instrumentación</v>
          </cell>
          <cell r="AI556">
            <v>378.77307852351839</v>
          </cell>
          <cell r="AJ556">
            <v>8</v>
          </cell>
          <cell r="AK556">
            <v>47.346634815439799</v>
          </cell>
        </row>
        <row r="557">
          <cell r="A557" t="str">
            <v>C047</v>
          </cell>
          <cell r="B557" t="str">
            <v>COND</v>
          </cell>
          <cell r="C557" t="str">
            <v>WWOLEII09080300900</v>
          </cell>
          <cell r="D557" t="str">
            <v>VENTANILLA, SANTA ROSA Y MALACAS</v>
          </cell>
          <cell r="E557" t="str">
            <v>MONTAJE/DESMONTAJE SENSOR DE VIBRACIÓN</v>
          </cell>
          <cell r="F557" t="str">
            <v>ACTIVIDAD DE DESMONTAJE Y REMONTAJE DE SENSORES DE VIBRACIÓNES DE CUALQUIER TIPO, TIPICAMENTE INSTALADOS SOBRE MAQUINARIAS PRINCIPALES Y AUXILIARES. INCLUYE DESCONEXION Y RECONEXION ELECTRICAS Y DE PROCESO, PRUEBAS FUNCIÓNALES. CONTABILIZACIÓN: 40% DESMONTAJE, 60% REMONTAJE.</v>
          </cell>
          <cell r="G557" t="str">
            <v>LEII0900</v>
          </cell>
          <cell r="H557" t="str">
            <v>NUM</v>
          </cell>
          <cell r="I557">
            <v>1</v>
          </cell>
          <cell r="J557">
            <v>4</v>
          </cell>
          <cell r="K557">
            <v>2</v>
          </cell>
          <cell r="L557">
            <v>8</v>
          </cell>
          <cell r="M557" t="str">
            <v>NO</v>
          </cell>
          <cell r="N557">
            <v>4</v>
          </cell>
          <cell r="O557">
            <v>3</v>
          </cell>
          <cell r="P557">
            <v>3</v>
          </cell>
          <cell r="Q557">
            <v>12</v>
          </cell>
          <cell r="R557">
            <v>9</v>
          </cell>
          <cell r="S557">
            <v>9</v>
          </cell>
          <cell r="T557">
            <v>387.96235779611709</v>
          </cell>
          <cell r="U557">
            <v>387.96235779611709</v>
          </cell>
          <cell r="V557">
            <v>387.96235779611709</v>
          </cell>
          <cell r="W557">
            <v>4655.5482935534055</v>
          </cell>
          <cell r="X557">
            <v>3491.6612201650537</v>
          </cell>
          <cell r="Y557">
            <v>8147.2095137184588</v>
          </cell>
          <cell r="Z557">
            <v>3491.6612201650537</v>
          </cell>
          <cell r="AA557">
            <v>387.96235779611709</v>
          </cell>
          <cell r="AB557">
            <v>23.466564118731693</v>
          </cell>
          <cell r="AC557">
            <v>8</v>
          </cell>
          <cell r="AD557">
            <v>53.753035096914566</v>
          </cell>
          <cell r="AE557">
            <v>97.405400412453716</v>
          </cell>
          <cell r="AF557">
            <v>20.333456907553309</v>
          </cell>
          <cell r="AG557">
            <v>28.737952429342009</v>
          </cell>
          <cell r="AH557" t="str">
            <v>Instrumentación</v>
          </cell>
          <cell r="AI557">
            <v>387.96235779611709</v>
          </cell>
          <cell r="AJ557">
            <v>8</v>
          </cell>
          <cell r="AK557">
            <v>48.495294724514636</v>
          </cell>
        </row>
        <row r="558">
          <cell r="A558" t="str">
            <v>C046</v>
          </cell>
          <cell r="B558" t="str">
            <v>COND</v>
          </cell>
          <cell r="C558" t="str">
            <v>WWOLEII09080302300</v>
          </cell>
          <cell r="D558" t="str">
            <v>VENTANILLA, SANTA ROSA Y MALACAS</v>
          </cell>
          <cell r="E558" t="str">
            <v>MONTAJE/DESMONTAJE REDUCTORES DE PRESIÓN</v>
          </cell>
          <cell r="F558" t="str">
            <v>ACTIVIDAD DE DESMONTAJE Y REMONTAJE DE REDUCTORES DE PRESIÓN. INCLUYE DESCONEXION Y RECONEXION ELECTRICAS Y DE PROCESO, PRUEBAS FUNCIÓNALES. CONTABILIZACIÓN: 40% DESMONTAJE, 60% REMONTAJE.</v>
          </cell>
          <cell r="G558" t="str">
            <v>LEII0900</v>
          </cell>
          <cell r="H558" t="str">
            <v>NUM</v>
          </cell>
          <cell r="I558">
            <v>1</v>
          </cell>
          <cell r="J558">
            <v>4</v>
          </cell>
          <cell r="K558">
            <v>2</v>
          </cell>
          <cell r="L558">
            <v>8</v>
          </cell>
          <cell r="M558" t="str">
            <v>NO</v>
          </cell>
          <cell r="N558">
            <v>4</v>
          </cell>
          <cell r="O558">
            <v>3</v>
          </cell>
          <cell r="P558">
            <v>3</v>
          </cell>
          <cell r="Q558">
            <v>12</v>
          </cell>
          <cell r="R558">
            <v>9</v>
          </cell>
          <cell r="S558">
            <v>9</v>
          </cell>
          <cell r="T558">
            <v>378.77307852351834</v>
          </cell>
          <cell r="U558">
            <v>378.77307852351834</v>
          </cell>
          <cell r="V558">
            <v>378.77307852351834</v>
          </cell>
          <cell r="W558">
            <v>4545.2769422822203</v>
          </cell>
          <cell r="X558">
            <v>3408.9577067116652</v>
          </cell>
          <cell r="Y558">
            <v>7954.2346489938855</v>
          </cell>
          <cell r="Z558">
            <v>3408.9577067116652</v>
          </cell>
          <cell r="AA558">
            <v>378.77307852351834</v>
          </cell>
          <cell r="AB558">
            <v>23.466564118731693</v>
          </cell>
          <cell r="AC558">
            <v>8</v>
          </cell>
          <cell r="AD558">
            <v>54.86347796257985</v>
          </cell>
          <cell r="AE558">
            <v>88.267984038228988</v>
          </cell>
          <cell r="AF558">
            <v>19.851838497039743</v>
          </cell>
          <cell r="AG558">
            <v>28.057265075816172</v>
          </cell>
          <cell r="AH558" t="str">
            <v>Instrumentación</v>
          </cell>
          <cell r="AI558">
            <v>378.77307852351834</v>
          </cell>
          <cell r="AJ558">
            <v>8</v>
          </cell>
          <cell r="AK558">
            <v>47.346634815439792</v>
          </cell>
        </row>
        <row r="559">
          <cell r="A559" t="str">
            <v>C044</v>
          </cell>
          <cell r="B559" t="str">
            <v>COND</v>
          </cell>
          <cell r="C559" t="str">
            <v>WWOLEII09080301500</v>
          </cell>
          <cell r="D559" t="str">
            <v>VENTANILLA, SANTA ROSA Y MALACAS</v>
          </cell>
          <cell r="E559" t="str">
            <v>MONTAJE/DESMONTAJE DETECTORES GAS METANO</v>
          </cell>
          <cell r="F559" t="str">
            <v>ACTIVIDAD DE DESMONTAJE Y REMONTAJE DE LOS DETECTORES DE GAS METANO TIPICAMENTE INSTALADOS EN LOS CABINADOS TG, CABINADOS VÁLVULAS, ESTACIÓN DE REGULACIÓN ETC. INCLUYE EL REMONTAJE, DESCONEXION Y RECONEXION ELECTRICAS Y DE PROCESO, PRUEBAS FUNCIÓNALES. CONTABILIZACIÓN: 40% DESMONTAJE, 60% REMONTAJE.</v>
          </cell>
          <cell r="G559" t="str">
            <v>LEII0900</v>
          </cell>
          <cell r="H559" t="str">
            <v>NUM</v>
          </cell>
          <cell r="I559">
            <v>1</v>
          </cell>
          <cell r="J559">
            <v>3</v>
          </cell>
          <cell r="K559">
            <v>2</v>
          </cell>
          <cell r="L559">
            <v>6</v>
          </cell>
          <cell r="M559" t="str">
            <v>NO</v>
          </cell>
          <cell r="N559">
            <v>4</v>
          </cell>
          <cell r="O559">
            <v>3</v>
          </cell>
          <cell r="P559">
            <v>3</v>
          </cell>
          <cell r="Q559">
            <v>12</v>
          </cell>
          <cell r="R559">
            <v>9</v>
          </cell>
          <cell r="S559">
            <v>9</v>
          </cell>
          <cell r="T559">
            <v>284.07980889263871</v>
          </cell>
          <cell r="U559">
            <v>284.07980889263871</v>
          </cell>
          <cell r="V559">
            <v>284.07980889263871</v>
          </cell>
          <cell r="W559">
            <v>3408.9577067116643</v>
          </cell>
          <cell r="X559">
            <v>2556.7182800337482</v>
          </cell>
          <cell r="Y559">
            <v>5965.675986745413</v>
          </cell>
          <cell r="Z559">
            <v>2556.7182800337482</v>
          </cell>
          <cell r="AA559">
            <v>284.07980889263871</v>
          </cell>
          <cell r="AB559">
            <v>23.466564118731693</v>
          </cell>
          <cell r="AC559">
            <v>6</v>
          </cell>
          <cell r="AD559">
            <v>41.14760847193488</v>
          </cell>
          <cell r="AE559">
            <v>66.20098802867173</v>
          </cell>
          <cell r="AF559">
            <v>14.888878872779806</v>
          </cell>
          <cell r="AG559">
            <v>21.042948806862128</v>
          </cell>
          <cell r="AH559" t="str">
            <v>Instrumentación</v>
          </cell>
          <cell r="AI559">
            <v>284.07980889263871</v>
          </cell>
          <cell r="AJ559">
            <v>6</v>
          </cell>
          <cell r="AK559">
            <v>47.346634815439785</v>
          </cell>
        </row>
        <row r="560">
          <cell r="A560" t="str">
            <v>C045</v>
          </cell>
          <cell r="B560" t="str">
            <v>COND</v>
          </cell>
          <cell r="C560" t="str">
            <v>WWOLEII09080302900</v>
          </cell>
          <cell r="D560" t="str">
            <v>VENTANILLA, SANTA ROSA Y MALACAS</v>
          </cell>
          <cell r="E560" t="str">
            <v>MONTAJE/DESMONTAJE ELECTROVÁLVULA</v>
          </cell>
          <cell r="F560" t="str">
            <v>ACTIVIDAD DE DESMONTAJE Y REMONTAJE DE ELECTROVÁLVULAS DE CUALQUIER TIPO Y TENSIÓN. INCLUYE DESCONEXION Y RECONEXION ELECTRICAS Y DE PROCESO, PRUEBAS FUNCIÓNALES. CONTABILIZACIÓN: 40% DESMONTAJE, 60% REMONTAJE.</v>
          </cell>
          <cell r="G560" t="str">
            <v>LEII0900</v>
          </cell>
          <cell r="H560" t="str">
            <v>NUM</v>
          </cell>
          <cell r="I560">
            <v>1</v>
          </cell>
          <cell r="J560">
            <v>3</v>
          </cell>
          <cell r="K560">
            <v>2</v>
          </cell>
          <cell r="L560">
            <v>6</v>
          </cell>
          <cell r="M560" t="str">
            <v>NO</v>
          </cell>
          <cell r="N560">
            <v>4</v>
          </cell>
          <cell r="O560">
            <v>3</v>
          </cell>
          <cell r="P560">
            <v>3</v>
          </cell>
          <cell r="Q560">
            <v>12</v>
          </cell>
          <cell r="R560">
            <v>9</v>
          </cell>
          <cell r="S560">
            <v>9</v>
          </cell>
          <cell r="T560">
            <v>298.29239999999976</v>
          </cell>
          <cell r="U560">
            <v>298.29239999999976</v>
          </cell>
          <cell r="V560">
            <v>298.29239999999976</v>
          </cell>
          <cell r="W560">
            <v>3579.5087999999969</v>
          </cell>
          <cell r="X560">
            <v>2684.6315999999979</v>
          </cell>
          <cell r="Y560">
            <v>6264.1403999999948</v>
          </cell>
          <cell r="Z560">
            <v>2684.6315999999979</v>
          </cell>
          <cell r="AA560">
            <v>298.29239999999976</v>
          </cell>
          <cell r="AB560">
            <v>22.389027306507995</v>
          </cell>
          <cell r="AC560">
            <v>6</v>
          </cell>
          <cell r="AD560">
            <v>48.384520134454419</v>
          </cell>
          <cell r="AE560">
            <v>77.844209108258397</v>
          </cell>
          <cell r="AF560">
            <v>15.633773584905645</v>
          </cell>
          <cell r="AG560">
            <v>22.095733333333314</v>
          </cell>
          <cell r="AH560" t="str">
            <v>Instrumentación</v>
          </cell>
          <cell r="AI560">
            <v>298.29239999999976</v>
          </cell>
          <cell r="AJ560">
            <v>6</v>
          </cell>
          <cell r="AK560">
            <v>49.71539999999996</v>
          </cell>
        </row>
        <row r="561">
          <cell r="A561" t="str">
            <v>C043</v>
          </cell>
          <cell r="B561" t="str">
            <v>COND</v>
          </cell>
          <cell r="C561" t="str">
            <v>WWOLEII09080302100</v>
          </cell>
          <cell r="D561" t="str">
            <v>VENTANILLA, SANTA ROSA Y MALACAS</v>
          </cell>
          <cell r="E561" t="str">
            <v>MONTAJE/DESMONTAJE CONMUTADOR DE PRESIÓN</v>
          </cell>
          <cell r="F561" t="str">
            <v>ACTIVIDAD DE DESMONTAJE Y REMONTAJE DE CONMUTADORES DE PRESIÓN. INCLUYE DESCONEXION Y RECONEXION ELECTRICAS Y DE PROCESO, PRUEBAS FUNCIÓNALES. CONTABILIZACIÓN: 40% DESMONTAJE, 60% REMONTAJE.</v>
          </cell>
          <cell r="G561" t="str">
            <v>LEII0900</v>
          </cell>
          <cell r="H561" t="str">
            <v>NUM</v>
          </cell>
          <cell r="I561">
            <v>1</v>
          </cell>
          <cell r="J561">
            <v>4</v>
          </cell>
          <cell r="K561">
            <v>2</v>
          </cell>
          <cell r="L561">
            <v>8</v>
          </cell>
          <cell r="M561" t="str">
            <v>NO</v>
          </cell>
          <cell r="N561">
            <v>4</v>
          </cell>
          <cell r="O561">
            <v>3</v>
          </cell>
          <cell r="P561">
            <v>3</v>
          </cell>
          <cell r="Q561">
            <v>12</v>
          </cell>
          <cell r="R561">
            <v>9</v>
          </cell>
          <cell r="S561">
            <v>9</v>
          </cell>
          <cell r="T561">
            <v>378.77307852351834</v>
          </cell>
          <cell r="U561">
            <v>378.77307852351834</v>
          </cell>
          <cell r="V561">
            <v>378.77307852351834</v>
          </cell>
          <cell r="W561">
            <v>4545.2769422822203</v>
          </cell>
          <cell r="X561">
            <v>3408.9577067116652</v>
          </cell>
          <cell r="Y561">
            <v>7954.2346489938855</v>
          </cell>
          <cell r="Z561">
            <v>3408.9577067116652</v>
          </cell>
          <cell r="AA561">
            <v>378.77307852351834</v>
          </cell>
          <cell r="AB561">
            <v>23.466564118731693</v>
          </cell>
          <cell r="AC561">
            <v>8</v>
          </cell>
          <cell r="AD561">
            <v>54.863477962579857</v>
          </cell>
          <cell r="AE561">
            <v>88.267984038228988</v>
          </cell>
          <cell r="AF561">
            <v>19.851838497039743</v>
          </cell>
          <cell r="AG561">
            <v>28.057265075816172</v>
          </cell>
          <cell r="AH561" t="str">
            <v>Instrumentación</v>
          </cell>
          <cell r="AI561">
            <v>378.77307852351834</v>
          </cell>
          <cell r="AJ561">
            <v>8</v>
          </cell>
          <cell r="AK561">
            <v>47.346634815439792</v>
          </cell>
        </row>
        <row r="562">
          <cell r="A562" t="str">
            <v>C039</v>
          </cell>
          <cell r="B562" t="str">
            <v>COND</v>
          </cell>
          <cell r="C562" t="str">
            <v>WWOLEII09080302700</v>
          </cell>
          <cell r="D562" t="str">
            <v>VENTANILLA, SANTA ROSA Y MALACAS</v>
          </cell>
          <cell r="E562" t="str">
            <v xml:space="preserve">MONT/DESM CONMUTADOR FLOT/MICROSW NIVEL </v>
          </cell>
          <cell r="F562" t="str">
            <v>ACTIVIDAD DE DESMONTAJE Y REMONTAJE DE CONMUTADORES DE NIVEL DE VARIOS TIPO, FLOTANTES, MICROSWITC ETC. INCLUYE DESCONEXION Y RECONEXION ELECTRICAS Y DE PROCESO, PRUEBAS FUNCIÓNALES. CONTABILIZACIÓN: 40% DESMONTAJE, 60% REMONTAJE.</v>
          </cell>
          <cell r="G562" t="str">
            <v>LEII0900</v>
          </cell>
          <cell r="H562" t="str">
            <v>NUM</v>
          </cell>
          <cell r="I562">
            <v>1</v>
          </cell>
          <cell r="J562">
            <v>3</v>
          </cell>
          <cell r="K562">
            <v>2</v>
          </cell>
          <cell r="L562">
            <v>6</v>
          </cell>
          <cell r="M562" t="str">
            <v>NO</v>
          </cell>
          <cell r="N562">
            <v>4</v>
          </cell>
          <cell r="O562">
            <v>3</v>
          </cell>
          <cell r="P562">
            <v>3</v>
          </cell>
          <cell r="Q562">
            <v>12</v>
          </cell>
          <cell r="R562">
            <v>9</v>
          </cell>
          <cell r="S562">
            <v>9</v>
          </cell>
          <cell r="T562">
            <v>284.07980889263882</v>
          </cell>
          <cell r="U562">
            <v>284.07980889263882</v>
          </cell>
          <cell r="V562">
            <v>284.07980889263882</v>
          </cell>
          <cell r="W562">
            <v>3408.9577067116661</v>
          </cell>
          <cell r="X562">
            <v>2556.7182800337496</v>
          </cell>
          <cell r="Y562">
            <v>5965.6759867454157</v>
          </cell>
          <cell r="Z562">
            <v>2556.7182800337496</v>
          </cell>
          <cell r="AA562">
            <v>284.07980889263882</v>
          </cell>
          <cell r="AB562">
            <v>23.466564118731693</v>
          </cell>
          <cell r="AC562">
            <v>6</v>
          </cell>
          <cell r="AD562">
            <v>41.14760847193493</v>
          </cell>
          <cell r="AE562">
            <v>66.200988028671802</v>
          </cell>
          <cell r="AF562">
            <v>14.888878872779815</v>
          </cell>
          <cell r="AG562">
            <v>21.042948806862139</v>
          </cell>
          <cell r="AH562" t="str">
            <v>Instrumentación</v>
          </cell>
          <cell r="AI562">
            <v>284.07980889263882</v>
          </cell>
          <cell r="AJ562">
            <v>6</v>
          </cell>
          <cell r="AK562">
            <v>47.346634815439806</v>
          </cell>
        </row>
        <row r="563">
          <cell r="A563" t="str">
            <v>C048</v>
          </cell>
          <cell r="B563" t="str">
            <v>COND</v>
          </cell>
          <cell r="C563" t="str">
            <v>WWOLEII09080303000</v>
          </cell>
          <cell r="D563" t="str">
            <v>VENTANILLA, SANTA ROSA Y MALACAS</v>
          </cell>
          <cell r="E563" t="str">
            <v>MONTAJE/DESMONTAJE SOLENOIDE ELECTROV</v>
          </cell>
          <cell r="F563" t="str">
            <v>ACTIVIDAD DE DESMONTAJE Y REMONTAJE DE BOBINAS DE SOLENOIDES PARA ELECTROVÁLVULAS DE CUALQUIER TIPO Y TENSIÓN. EL PRECIO APLICA UNA SOLA VEZ TAMBIEN EN CASO DE ELECTROVÁLVULAS CON MAS DE UNA BOBINA. INCLUYE PRUEBAS FUNCIÓNALES. CONTABILIZACIÓN: 40% DESMONTAJE, 60% REMONTAJE.</v>
          </cell>
          <cell r="G563" t="str">
            <v>LEII0900</v>
          </cell>
          <cell r="H563" t="str">
            <v>NUM</v>
          </cell>
          <cell r="I563">
            <v>1</v>
          </cell>
          <cell r="J563">
            <v>2.5</v>
          </cell>
          <cell r="K563">
            <v>2</v>
          </cell>
          <cell r="L563">
            <v>5</v>
          </cell>
          <cell r="M563" t="str">
            <v>NO</v>
          </cell>
          <cell r="N563">
            <v>4</v>
          </cell>
          <cell r="O563">
            <v>3</v>
          </cell>
          <cell r="P563">
            <v>3</v>
          </cell>
          <cell r="Q563">
            <v>12</v>
          </cell>
          <cell r="R563">
            <v>9</v>
          </cell>
          <cell r="S563">
            <v>9</v>
          </cell>
          <cell r="T563">
            <v>242.47647362257337</v>
          </cell>
          <cell r="U563">
            <v>242.47647362257337</v>
          </cell>
          <cell r="V563">
            <v>242.47647362257337</v>
          </cell>
          <cell r="W563">
            <v>2909.7176834708803</v>
          </cell>
          <cell r="X563">
            <v>2182.2882626031601</v>
          </cell>
          <cell r="Y563">
            <v>5092.0059460740404</v>
          </cell>
          <cell r="Z563">
            <v>2182.2882626031601</v>
          </cell>
          <cell r="AA563">
            <v>242.47647362257337</v>
          </cell>
          <cell r="AB563">
            <v>23.466564118731693</v>
          </cell>
          <cell r="AC563">
            <v>5</v>
          </cell>
          <cell r="AD563">
            <v>33.595646935571644</v>
          </cell>
          <cell r="AE563">
            <v>60.878375257783652</v>
          </cell>
          <cell r="AF563">
            <v>12.708410567220826</v>
          </cell>
          <cell r="AG563">
            <v>17.961220268338767</v>
          </cell>
          <cell r="AH563" t="str">
            <v>Instrumentación</v>
          </cell>
          <cell r="AI563">
            <v>242.47647362257337</v>
          </cell>
          <cell r="AJ563">
            <v>5</v>
          </cell>
          <cell r="AK563">
            <v>48.495294724514672</v>
          </cell>
        </row>
        <row r="564">
          <cell r="A564" t="str">
            <v>P043</v>
          </cell>
          <cell r="B564" t="str">
            <v>PREV</v>
          </cell>
          <cell r="C564" t="str">
            <v>WWOLEII09080301800</v>
          </cell>
          <cell r="D564" t="str">
            <v>VENTANILLA, SANTA ROSA Y MALACAS</v>
          </cell>
          <cell r="E564" t="str">
            <v>CALIBRACIÓN TRANSMISORES, SENSORES Y/O INDICADORES DE CAMPO</v>
          </cell>
          <cell r="F564" t="str">
            <v>ACTIVIDAD DE CALIBRACIÓN DEL TRANSMISORES DE CAMPO. ACTIVIDAD A EJECUTARSE CON EQUIPOS ADECUADOS EN CAMPO O EN LABORATORIO SEGÚN LAS INDICACIÓNES DE ENEL. EMISIÓN DE INFORME DE CALIBRACIÓN.</v>
          </cell>
          <cell r="G564" t="str">
            <v>LEII0908</v>
          </cell>
          <cell r="H564" t="str">
            <v>NUM</v>
          </cell>
          <cell r="I564">
            <v>1</v>
          </cell>
          <cell r="J564">
            <v>2</v>
          </cell>
          <cell r="K564">
            <v>2</v>
          </cell>
          <cell r="L564">
            <v>4</v>
          </cell>
          <cell r="M564" t="str">
            <v>NO</v>
          </cell>
          <cell r="N564">
            <v>30</v>
          </cell>
          <cell r="O564">
            <v>15</v>
          </cell>
          <cell r="P564">
            <v>25</v>
          </cell>
          <cell r="Q564">
            <v>90</v>
          </cell>
          <cell r="R564">
            <v>45</v>
          </cell>
          <cell r="S564">
            <v>75</v>
          </cell>
          <cell r="T564">
            <v>142.03990444631941</v>
          </cell>
          <cell r="U564">
            <v>142.03990444631941</v>
          </cell>
          <cell r="V564">
            <v>142.03990444631941</v>
          </cell>
          <cell r="W564">
            <v>12783.591400168747</v>
          </cell>
          <cell r="X564">
            <v>6391.7957000843735</v>
          </cell>
          <cell r="Y564">
            <v>19175.38710025312</v>
          </cell>
          <cell r="Z564">
            <v>10652.992833473956</v>
          </cell>
          <cell r="AA564">
            <v>142.03990444631941</v>
          </cell>
          <cell r="AB564">
            <v>23.466564118731693</v>
          </cell>
          <cell r="AC564">
            <v>3</v>
          </cell>
          <cell r="AD564">
            <v>20.573804235967465</v>
          </cell>
          <cell r="AE564">
            <v>33.100494014335901</v>
          </cell>
          <cell r="AF564">
            <v>7.4444394363899073</v>
          </cell>
          <cell r="AG564">
            <v>10.521474403431069</v>
          </cell>
          <cell r="AH564" t="str">
            <v>Instrumentación</v>
          </cell>
          <cell r="AI564">
            <v>142.03990444631941</v>
          </cell>
          <cell r="AJ564">
            <v>4</v>
          </cell>
          <cell r="AK564">
            <v>35.509976111579853</v>
          </cell>
        </row>
        <row r="565">
          <cell r="A565" t="str">
            <v>P108</v>
          </cell>
          <cell r="B565" t="str">
            <v>PREV</v>
          </cell>
          <cell r="C565" t="str">
            <v>PEOMMIM01ICCALIB01</v>
          </cell>
          <cell r="D565" t="str">
            <v>VENTANILLA Y MALACAS</v>
          </cell>
          <cell r="E565" t="str">
            <v>CALIBRACIÓN TRANSMISORES, SENSORES Y/O INDICADORES DE CAMPO</v>
          </cell>
          <cell r="F565" t="str">
            <v>ACTIVIDAD DE CALIBRACIÓN DEL TRANSMISORES DE CAMPO. ACTIVIDAD A EJECUTARSE CON EQUIPOS ADECUADOS EN CAMPO O EN LABORATORIO SEGÚN LAS INDICACIÓNES DE ENEL. EMISIÓN DE INFORME DE CALIBRACIÓN.</v>
          </cell>
          <cell r="G565" t="str">
            <v>MMIM01</v>
          </cell>
          <cell r="H565" t="str">
            <v>NUM</v>
          </cell>
          <cell r="I565">
            <v>1</v>
          </cell>
          <cell r="J565">
            <v>3</v>
          </cell>
          <cell r="K565">
            <v>2</v>
          </cell>
          <cell r="L565">
            <v>6</v>
          </cell>
          <cell r="M565" t="str">
            <v>NO</v>
          </cell>
          <cell r="N565">
            <v>30</v>
          </cell>
          <cell r="O565">
            <v>0</v>
          </cell>
          <cell r="P565">
            <v>15</v>
          </cell>
          <cell r="Q565">
            <v>90</v>
          </cell>
          <cell r="R565">
            <v>0</v>
          </cell>
          <cell r="S565">
            <v>45</v>
          </cell>
          <cell r="T565">
            <v>142.03990444631935</v>
          </cell>
          <cell r="U565"/>
          <cell r="V565">
            <v>142.03990444631935</v>
          </cell>
          <cell r="W565">
            <v>12783.591400168742</v>
          </cell>
          <cell r="X565">
            <v>0</v>
          </cell>
          <cell r="Y565">
            <v>12783.591400168742</v>
          </cell>
          <cell r="Z565">
            <v>6391.7957000843708</v>
          </cell>
          <cell r="AA565">
            <v>142.03990444631935</v>
          </cell>
          <cell r="AB565">
            <v>23.466564118731693</v>
          </cell>
          <cell r="AC565">
            <v>3</v>
          </cell>
          <cell r="AD565">
            <v>20.573804235967444</v>
          </cell>
          <cell r="AE565">
            <v>33.100494014335872</v>
          </cell>
          <cell r="AF565">
            <v>7.4444394363899038</v>
          </cell>
          <cell r="AG565">
            <v>10.521474403431064</v>
          </cell>
          <cell r="AH565" t="str">
            <v>Instrumentación</v>
          </cell>
          <cell r="AI565">
            <v>142.03990444631935</v>
          </cell>
          <cell r="AJ565">
            <v>6</v>
          </cell>
          <cell r="AK565">
            <v>23.673317407719892</v>
          </cell>
        </row>
        <row r="566">
          <cell r="A566" t="str">
            <v>C141</v>
          </cell>
          <cell r="B566" t="str">
            <v>COND</v>
          </cell>
          <cell r="C566" t="str">
            <v>WWOLEII09081200100</v>
          </cell>
          <cell r="D566" t="str">
            <v>VENTANILLA, SANTA ROSA Y MALACAS</v>
          </cell>
          <cell r="E566" t="str">
            <v>BUSQUEDA DE FALLO EN ARMARIOS ELECTRICOS</v>
          </cell>
          <cell r="F566" t="str">
            <v>ACTIVIDAD DE BUSQUEDA DE PROBLEMA EN CASO DE FALLO. INCLUYE TODAS LA MEDIDAS DE POTENCIA Y CONTROL DEL ARMARIOS DE CCM, POWER CENTER, MEDIA TENSIÓN Y CUBICULOS DE MEDIDAS ETC.</v>
          </cell>
          <cell r="G566" t="str">
            <v>LEII0900</v>
          </cell>
          <cell r="H566" t="str">
            <v>NUM</v>
          </cell>
          <cell r="I566">
            <v>1</v>
          </cell>
          <cell r="J566">
            <v>1</v>
          </cell>
          <cell r="K566">
            <v>2</v>
          </cell>
          <cell r="L566">
            <v>2</v>
          </cell>
          <cell r="M566" t="str">
            <v>NO</v>
          </cell>
          <cell r="N566">
            <v>4</v>
          </cell>
          <cell r="O566">
            <v>3</v>
          </cell>
          <cell r="P566">
            <v>3</v>
          </cell>
          <cell r="Q566">
            <v>12</v>
          </cell>
          <cell r="R566">
            <v>9</v>
          </cell>
          <cell r="S566">
            <v>9</v>
          </cell>
          <cell r="T566">
            <v>96.224337159304767</v>
          </cell>
          <cell r="U566">
            <v>96.224337159304767</v>
          </cell>
          <cell r="V566">
            <v>96.224337159304767</v>
          </cell>
          <cell r="W566">
            <v>1154.6920459116573</v>
          </cell>
          <cell r="X566">
            <v>866.01903443374295</v>
          </cell>
          <cell r="Y566">
            <v>2020.7110803454002</v>
          </cell>
          <cell r="Z566">
            <v>866.01903443374295</v>
          </cell>
          <cell r="AA566">
            <v>96.224337159304767</v>
          </cell>
          <cell r="AB566">
            <v>23.057832511738386</v>
          </cell>
          <cell r="AC566">
            <v>2</v>
          </cell>
          <cell r="AD566">
            <v>14.541850475488797</v>
          </cell>
          <cell r="AE566">
            <v>23.395888728239857</v>
          </cell>
          <cell r="AF566">
            <v>5.0432042536323252</v>
          </cell>
          <cell r="AG566">
            <v>7.1277286784670197</v>
          </cell>
          <cell r="AH566" t="str">
            <v>Electricidad</v>
          </cell>
          <cell r="AI566">
            <v>96.224337159304767</v>
          </cell>
          <cell r="AJ566">
            <v>2</v>
          </cell>
          <cell r="AK566">
            <v>48.112168579652383</v>
          </cell>
        </row>
        <row r="567">
          <cell r="A567" t="str">
            <v>P117</v>
          </cell>
          <cell r="B567" t="str">
            <v>PREV</v>
          </cell>
          <cell r="C567" t="str">
            <v>PEOLEII09MEPRUEB06</v>
          </cell>
          <cell r="D567" t="str">
            <v>VENTANILLA, SANTA ROSA Y MALACAS</v>
          </cell>
          <cell r="E567" t="str">
            <v>Prueba sistema Diluvio Transformadores TG's</v>
          </cell>
          <cell r="F567" t="str">
            <v>Activación de rociadores del sistema de diluvio a través de estación manual de disparo</v>
          </cell>
          <cell r="G567" t="str">
            <v>LEII0900</v>
          </cell>
          <cell r="H567"/>
          <cell r="I567">
            <v>1</v>
          </cell>
          <cell r="J567">
            <v>1</v>
          </cell>
          <cell r="K567">
            <v>2</v>
          </cell>
          <cell r="L567">
            <v>2</v>
          </cell>
          <cell r="M567" t="str">
            <v>No</v>
          </cell>
          <cell r="N567">
            <v>3</v>
          </cell>
          <cell r="O567">
            <v>3</v>
          </cell>
          <cell r="P567">
            <v>5</v>
          </cell>
          <cell r="Q567">
            <v>9</v>
          </cell>
          <cell r="R567">
            <v>9</v>
          </cell>
          <cell r="S567">
            <v>15</v>
          </cell>
          <cell r="T567">
            <v>73.891242733090891</v>
          </cell>
          <cell r="U567">
            <v>73.891242733090891</v>
          </cell>
          <cell r="V567">
            <v>73.891242733090891</v>
          </cell>
          <cell r="W567">
            <v>665.02118459781798</v>
          </cell>
          <cell r="X567">
            <v>665.02118459781798</v>
          </cell>
          <cell r="Y567">
            <v>1330.042369195636</v>
          </cell>
          <cell r="Z567">
            <v>1108.3686409963634</v>
          </cell>
          <cell r="AA567">
            <v>73.891242733090891</v>
          </cell>
          <cell r="AB567">
            <v>23.057832511738386</v>
          </cell>
          <cell r="AC567">
            <v>1.5</v>
          </cell>
          <cell r="AD567">
            <v>10.653410609514641</v>
          </cell>
          <cell r="AE567">
            <v>19.304951326136752</v>
          </cell>
          <cell r="AF567">
            <v>3.872706642195539</v>
          </cell>
          <cell r="AG567">
            <v>5.4734253876363619</v>
          </cell>
          <cell r="AH567" t="str">
            <v>Electricidad</v>
          </cell>
          <cell r="AI567">
            <v>73.891242733090891</v>
          </cell>
          <cell r="AJ567">
            <v>2</v>
          </cell>
          <cell r="AK567">
            <v>36.945621366545446</v>
          </cell>
        </row>
        <row r="568">
          <cell r="A568" t="str">
            <v>C009</v>
          </cell>
          <cell r="B568" t="str">
            <v>COND</v>
          </cell>
          <cell r="C568" t="str">
            <v>WWOLEII09090101100</v>
          </cell>
          <cell r="D568" t="str">
            <v>VENTANILLA, SANTA ROSA Y MALACAS</v>
          </cell>
          <cell r="E568" t="str">
            <v>MANT. MENOR GENERADOR GRUPO DIESEL</v>
          </cell>
          <cell r="F568" t="str">
            <v>ACITIVIDAD DE MANTENIMIENTO MENOR SOBRE EL GENERADOR DEL GRUPO DIESEL QUE INCLUYE: INSPECCIÓN VISUAL, APRIETE DE TERMINALES, COMPROBACIÓN DE PERDIDAS DE AGUA REFRIGERANTE; ETC</v>
          </cell>
          <cell r="G568" t="str">
            <v>LEII0900</v>
          </cell>
          <cell r="H568" t="str">
            <v>NUM</v>
          </cell>
          <cell r="I568">
            <v>1</v>
          </cell>
          <cell r="J568">
            <v>2.5</v>
          </cell>
          <cell r="K568">
            <v>2</v>
          </cell>
          <cell r="L568">
            <v>5</v>
          </cell>
          <cell r="M568" t="str">
            <v>NO</v>
          </cell>
          <cell r="N568">
            <v>4</v>
          </cell>
          <cell r="O568">
            <v>3</v>
          </cell>
          <cell r="P568">
            <v>3</v>
          </cell>
          <cell r="Q568">
            <v>12</v>
          </cell>
          <cell r="R568">
            <v>9</v>
          </cell>
          <cell r="S568">
            <v>9</v>
          </cell>
          <cell r="T568">
            <v>240.56084289826182</v>
          </cell>
          <cell r="U568">
            <v>240.56084289826182</v>
          </cell>
          <cell r="V568">
            <v>240.56084289826182</v>
          </cell>
          <cell r="W568">
            <v>2886.7301147791418</v>
          </cell>
          <cell r="X568">
            <v>2165.0475860843562</v>
          </cell>
          <cell r="Y568">
            <v>5051.7777008634985</v>
          </cell>
          <cell r="Z568">
            <v>2165.0475860843562</v>
          </cell>
          <cell r="AA568">
            <v>240.56084289826182</v>
          </cell>
          <cell r="AB568">
            <v>23.057832511738386</v>
          </cell>
          <cell r="AC568">
            <v>5</v>
          </cell>
          <cell r="AD568">
            <v>36.354626188721959</v>
          </cell>
          <cell r="AE568">
            <v>58.489721820599591</v>
          </cell>
          <cell r="AF568">
            <v>12.608010634080808</v>
          </cell>
          <cell r="AG568">
            <v>17.819321696167542</v>
          </cell>
          <cell r="AH568" t="str">
            <v>Electricidad</v>
          </cell>
          <cell r="AI568">
            <v>240.56084289826182</v>
          </cell>
          <cell r="AJ568">
            <v>5</v>
          </cell>
          <cell r="AK568">
            <v>48.112168579652362</v>
          </cell>
        </row>
        <row r="569">
          <cell r="A569" t="str">
            <v>C262</v>
          </cell>
          <cell r="B569" t="str">
            <v>COND</v>
          </cell>
          <cell r="C569" t="str">
            <v>WWOMMIM01060600800</v>
          </cell>
          <cell r="D569" t="str">
            <v>VENTANILLA, SANTA ROSA Y MALACAS</v>
          </cell>
          <cell r="E569" t="str">
            <v>ABRIR/CERRAR DIAFRAGMA INTERNO SOLDADO</v>
          </cell>
          <cell r="F569" t="str">
            <v>ABRIR/CERRAR DIAFRAGMA INTERNO SOLDADO</v>
          </cell>
          <cell r="G569" t="str">
            <v>MMIM0100</v>
          </cell>
          <cell r="H569" t="str">
            <v>NUM</v>
          </cell>
          <cell r="I569">
            <v>1</v>
          </cell>
          <cell r="J569">
            <v>3</v>
          </cell>
          <cell r="K569">
            <v>2</v>
          </cell>
          <cell r="L569">
            <v>6</v>
          </cell>
          <cell r="M569" t="str">
            <v>NO</v>
          </cell>
          <cell r="N569">
            <v>4</v>
          </cell>
          <cell r="O569">
            <v>3</v>
          </cell>
          <cell r="P569">
            <v>3</v>
          </cell>
          <cell r="Q569">
            <v>12</v>
          </cell>
          <cell r="R569">
            <v>9</v>
          </cell>
          <cell r="S569">
            <v>9</v>
          </cell>
          <cell r="T569">
            <v>327.01778138453341</v>
          </cell>
          <cell r="U569">
            <v>327.01778138453341</v>
          </cell>
          <cell r="V569">
            <v>327.01778138453341</v>
          </cell>
          <cell r="W569">
            <v>3924.2133766144007</v>
          </cell>
          <cell r="X569">
            <v>2943.1600324608007</v>
          </cell>
          <cell r="Y569">
            <v>6867.3734090752014</v>
          </cell>
          <cell r="Z569">
            <v>2943.1600324608007</v>
          </cell>
          <cell r="AA569">
            <v>327.01778138453341</v>
          </cell>
          <cell r="AB569">
            <v>19.171538486527368</v>
          </cell>
          <cell r="AC569">
            <v>6</v>
          </cell>
          <cell r="AD569">
            <v>58.559733014820502</v>
          </cell>
          <cell r="AE569">
            <v>112.06598137046447</v>
          </cell>
          <cell r="AF569">
            <v>17.139296718266948</v>
          </cell>
          <cell r="AG569">
            <v>24.223539361817288</v>
          </cell>
          <cell r="AH569" t="str">
            <v>Mecánica</v>
          </cell>
          <cell r="AI569">
            <v>327.01778138453341</v>
          </cell>
          <cell r="AJ569">
            <v>6</v>
          </cell>
          <cell r="AK569">
            <v>54.502963564088901</v>
          </cell>
        </row>
        <row r="570">
          <cell r="A570" t="str">
            <v>C261</v>
          </cell>
          <cell r="B570" t="str">
            <v>COND</v>
          </cell>
          <cell r="C570" t="str">
            <v>WWOMMIM01060600900</v>
          </cell>
          <cell r="D570" t="str">
            <v>VENTANILLA, SANTA ROSA Y MALACAS</v>
          </cell>
          <cell r="E570" t="str">
            <v>ABRIR/CERRAR DIAFRAGMA INTERNO BRIDADO</v>
          </cell>
          <cell r="F570" t="str">
            <v>ABRIR/CERRAR DIAFRAGMA INTERNO BRIDADO</v>
          </cell>
          <cell r="G570" t="str">
            <v>MMIM0100</v>
          </cell>
          <cell r="H570" t="str">
            <v>NUM</v>
          </cell>
          <cell r="I570">
            <v>1</v>
          </cell>
          <cell r="J570">
            <v>2</v>
          </cell>
          <cell r="K570">
            <v>2</v>
          </cell>
          <cell r="L570">
            <v>4</v>
          </cell>
          <cell r="M570" t="str">
            <v>NO</v>
          </cell>
          <cell r="N570">
            <v>4</v>
          </cell>
          <cell r="O570">
            <v>3</v>
          </cell>
          <cell r="P570">
            <v>3</v>
          </cell>
          <cell r="Q570">
            <v>12</v>
          </cell>
          <cell r="R570">
            <v>9</v>
          </cell>
          <cell r="S570">
            <v>9</v>
          </cell>
          <cell r="T570">
            <v>171.27031766132998</v>
          </cell>
          <cell r="U570">
            <v>171.27031766132998</v>
          </cell>
          <cell r="V570">
            <v>171.27031766132998</v>
          </cell>
          <cell r="W570">
            <v>2055.2438119359599</v>
          </cell>
          <cell r="X570">
            <v>1541.4328589519698</v>
          </cell>
          <cell r="Y570">
            <v>3596.6766708879295</v>
          </cell>
          <cell r="Z570">
            <v>1541.4328589519698</v>
          </cell>
          <cell r="AA570">
            <v>171.27031766132998</v>
          </cell>
          <cell r="AB570">
            <v>19.171538486527368</v>
          </cell>
          <cell r="AC570">
            <v>4</v>
          </cell>
          <cell r="AD570">
            <v>27.951240855760062</v>
          </cell>
          <cell r="AE570">
            <v>44.969800919068597</v>
          </cell>
          <cell r="AF570">
            <v>8.9764317432562883</v>
          </cell>
          <cell r="AG570">
            <v>12.686690197135555</v>
          </cell>
          <cell r="AH570" t="str">
            <v>Mecánica</v>
          </cell>
          <cell r="AI570">
            <v>171.27031766132998</v>
          </cell>
          <cell r="AJ570">
            <v>4</v>
          </cell>
          <cell r="AK570">
            <v>42.817579415332496</v>
          </cell>
        </row>
        <row r="571">
          <cell r="A571" t="str">
            <v>P086</v>
          </cell>
          <cell r="B571" t="str">
            <v>PREV</v>
          </cell>
          <cell r="C571" t="str">
            <v>WWOMMIM01060600500</v>
          </cell>
          <cell r="D571" t="str">
            <v>VENTANILLA</v>
          </cell>
          <cell r="E571" t="str">
            <v>ABRIR/CERRAR BOCA HOMBRE DIAM EQUIV&lt;=600</v>
          </cell>
          <cell r="F571" t="str">
            <v xml:space="preserve">ABERTURA ACCESO, LIMPIEZA DE ASIENTOS DE ESTANQUIEDAD, REACONDICIÓNAMIENTO DE LA TORNILLERIA Y REPASAR/RECTIFICAR ROSCAS DONDE SEA NECESARIO. VERIFICACIÓN PLANITUD ENTRE CARAS. CONSTRUCCIÓN Y ADECUACIÓN JUNTAS. CIERRE DEL ACCESO. ASISTENCIA A LA PUESTA EN MARCHA. </v>
          </cell>
          <cell r="G571" t="str">
            <v>MMIM0106</v>
          </cell>
          <cell r="H571" t="str">
            <v>NUM</v>
          </cell>
          <cell r="I571">
            <v>1</v>
          </cell>
          <cell r="J571">
            <v>1</v>
          </cell>
          <cell r="K571">
            <v>2</v>
          </cell>
          <cell r="L571">
            <v>2</v>
          </cell>
          <cell r="M571" t="str">
            <v>NO</v>
          </cell>
          <cell r="N571">
            <v>4</v>
          </cell>
          <cell r="O571">
            <v>0</v>
          </cell>
          <cell r="P571">
            <v>0</v>
          </cell>
          <cell r="Q571">
            <v>12</v>
          </cell>
          <cell r="R571">
            <v>0</v>
          </cell>
          <cell r="S571">
            <v>0</v>
          </cell>
          <cell r="T571">
            <v>86.014131459691754</v>
          </cell>
          <cell r="U571"/>
          <cell r="V571">
            <v>0</v>
          </cell>
          <cell r="W571">
            <v>1032.1695775163012</v>
          </cell>
          <cell r="X571">
            <v>0</v>
          </cell>
          <cell r="Y571">
            <v>1032.1695775163012</v>
          </cell>
          <cell r="Z571">
            <v>0</v>
          </cell>
          <cell r="AA571">
            <v>86.014131459691754</v>
          </cell>
          <cell r="AB571">
            <v>19.171538486527368</v>
          </cell>
          <cell r="AC571">
            <v>2</v>
          </cell>
          <cell r="AD571">
            <v>14.102510151614974</v>
          </cell>
          <cell r="AE571">
            <v>22.689049021112741</v>
          </cell>
          <cell r="AF571">
            <v>4.5080781687469473</v>
          </cell>
          <cell r="AG571">
            <v>6.3714171451623525</v>
          </cell>
          <cell r="AH571" t="str">
            <v>Mecánica</v>
          </cell>
          <cell r="AI571">
            <v>86.014131459691754</v>
          </cell>
          <cell r="AJ571">
            <v>2</v>
          </cell>
          <cell r="AK571">
            <v>43.007065729845877</v>
          </cell>
        </row>
        <row r="572">
          <cell r="A572" t="str">
            <v>C259</v>
          </cell>
          <cell r="B572" t="str">
            <v>COND</v>
          </cell>
          <cell r="C572" t="str">
            <v>WWOMMIM01060600500</v>
          </cell>
          <cell r="D572" t="str">
            <v>VENTANILLA, SANTA ROSA Y MALACAS</v>
          </cell>
          <cell r="E572" t="str">
            <v>ABRIR/CERRAR BOCA HOMBRE DIAM EQUIV&lt;=600</v>
          </cell>
          <cell r="F572" t="str">
            <v xml:space="preserve">ABERTURA ACCESO, LIMPIEZA DE ASIENTOS DE ESTANQUIEDAD, REACONDICIÓNAMIENTO DE LA TORNILLERIA Y REPASAR/RECTIFICAR ROSCAS DONDE SEA NECESARIO. VERIFICACIÓN PLANITUD ENTRE CARAS. CONSTRUCCIÓN Y ADECUACIÓN JUNTAS. CIERRE DEL ACCESO. ASISTENCIA A LA PUESTA EN MARCHA. </v>
          </cell>
          <cell r="G572" t="str">
            <v>MMIM0100</v>
          </cell>
          <cell r="H572" t="str">
            <v>NUM</v>
          </cell>
          <cell r="I572">
            <v>1</v>
          </cell>
          <cell r="J572">
            <v>1</v>
          </cell>
          <cell r="K572">
            <v>2</v>
          </cell>
          <cell r="L572">
            <v>2</v>
          </cell>
          <cell r="M572" t="str">
            <v>NO</v>
          </cell>
          <cell r="N572">
            <v>1</v>
          </cell>
          <cell r="O572">
            <v>1</v>
          </cell>
          <cell r="P572">
            <v>1</v>
          </cell>
          <cell r="Q572">
            <v>3</v>
          </cell>
          <cell r="R572">
            <v>3</v>
          </cell>
          <cell r="S572">
            <v>3</v>
          </cell>
          <cell r="T572">
            <v>85.635158830664921</v>
          </cell>
          <cell r="U572">
            <v>85.635158830664921</v>
          </cell>
          <cell r="V572">
            <v>85.635158830664921</v>
          </cell>
          <cell r="W572">
            <v>256.90547649199476</v>
          </cell>
          <cell r="X572">
            <v>256.90547649199476</v>
          </cell>
          <cell r="Y572">
            <v>513.81095298398952</v>
          </cell>
          <cell r="Z572">
            <v>256.90547649199476</v>
          </cell>
          <cell r="AA572">
            <v>85.635158830664921</v>
          </cell>
          <cell r="AB572">
            <v>19.171538486527368</v>
          </cell>
          <cell r="AC572">
            <v>2</v>
          </cell>
          <cell r="AD572">
            <v>13.975620427880012</v>
          </cell>
          <cell r="AE572">
            <v>22.484900459534266</v>
          </cell>
          <cell r="AF572">
            <v>4.4882158716281406</v>
          </cell>
          <cell r="AG572">
            <v>6.3433450985677728</v>
          </cell>
          <cell r="AH572" t="str">
            <v>Mecánica</v>
          </cell>
          <cell r="AI572">
            <v>85.635158830664921</v>
          </cell>
          <cell r="AJ572">
            <v>2</v>
          </cell>
          <cell r="AK572">
            <v>42.81757941533246</v>
          </cell>
        </row>
        <row r="573">
          <cell r="A573" t="str">
            <v>C260</v>
          </cell>
          <cell r="B573" t="str">
            <v>COND</v>
          </cell>
          <cell r="C573" t="str">
            <v>WWOMMIM01060600600</v>
          </cell>
          <cell r="D573" t="str">
            <v>VENTANILLA, SANTA ROSA Y MALACAS</v>
          </cell>
          <cell r="E573" t="str">
            <v>ABRIR/CERRAR BOCA HOMBRE DIAM EQUIV&gt;600</v>
          </cell>
          <cell r="F573" t="str">
            <v xml:space="preserve">ABERTURA ACCESO, LIMPIEZA DE ASIENTOS DE ESTANQUIEDAD, REACONDICIÓNAMIENTO DE LA TORNILLERIA Y REPASAR/RECTIFICAR ROSCAS DONDE SEA NECESARIO. VERIFICACIÓN PLANITUD ENTRE CARAS. CONSTRUCCIÓN Y ADECUACIÓN JUNTAS. CIERRE DEL ACCESO. ASISTENCIA A LA PUESTA EN MARCHA. </v>
          </cell>
          <cell r="G573" t="str">
            <v>MMIM0100</v>
          </cell>
          <cell r="H573" t="str">
            <v>NUM</v>
          </cell>
          <cell r="I573">
            <v>1</v>
          </cell>
          <cell r="J573">
            <v>6.5</v>
          </cell>
          <cell r="K573">
            <v>3</v>
          </cell>
          <cell r="L573">
            <v>19.5</v>
          </cell>
          <cell r="M573" t="str">
            <v>SI</v>
          </cell>
          <cell r="N573">
            <v>4</v>
          </cell>
          <cell r="O573">
            <v>3</v>
          </cell>
          <cell r="P573">
            <v>3</v>
          </cell>
          <cell r="Q573">
            <v>12</v>
          </cell>
          <cell r="R573">
            <v>9</v>
          </cell>
          <cell r="S573">
            <v>9</v>
          </cell>
          <cell r="T573">
            <v>864.85104102372861</v>
          </cell>
          <cell r="U573">
            <v>864.85104102372861</v>
          </cell>
          <cell r="V573">
            <v>864.85104102372861</v>
          </cell>
          <cell r="W573">
            <v>10378.212492284743</v>
          </cell>
          <cell r="X573">
            <v>7783.6593692135575</v>
          </cell>
          <cell r="Y573">
            <v>18161.871861498301</v>
          </cell>
          <cell r="Z573">
            <v>7783.6593692135575</v>
          </cell>
          <cell r="AA573">
            <v>864.85104102372861</v>
          </cell>
          <cell r="AB573">
            <v>20.463193652193159</v>
          </cell>
          <cell r="AC573">
            <v>19.5</v>
          </cell>
          <cell r="AD573">
            <v>136.6218513238482</v>
          </cell>
          <cell r="AE573">
            <v>219.80625071111805</v>
          </cell>
          <cell r="AF573">
            <v>45.327622695163974</v>
          </cell>
          <cell r="AG573">
            <v>64.063040075831751</v>
          </cell>
          <cell r="AH573" t="str">
            <v>Mecánica</v>
          </cell>
          <cell r="AI573">
            <v>864.85104102372861</v>
          </cell>
          <cell r="AJ573">
            <v>19.5</v>
          </cell>
          <cell r="AK573">
            <v>44.351335437114287</v>
          </cell>
        </row>
        <row r="574">
          <cell r="A574" t="str">
            <v>C258</v>
          </cell>
          <cell r="B574" t="str">
            <v>COND</v>
          </cell>
          <cell r="C574" t="str">
            <v>WWOMMIM01060600700</v>
          </cell>
          <cell r="D574" t="str">
            <v>VENTANILLA, SANTA ROSA Y MALACAS</v>
          </cell>
          <cell r="E574" t="str">
            <v>ABRIR/CERRAR BOCA HOMBRE CIERRE RAPIDO</v>
          </cell>
          <cell r="F574" t="str">
            <v xml:space="preserve">ABERTURA ACCESO NORMALMENTE INSTAlADOS EN DUCTOS DE AIRE/GAS, LIMPIEZA DE ASIENTOS DE ESTANQUIEDAD, REACONDICIÓNAMIENTO DE LA TORNILLERIA Y REPASAR/RECTIFICAR ROSCAS DONDE SEA NECESARIO. VERIFICACIÓN PLANITUD ENTRE CARAS. CONSTRUCCIÓN Y ADECUACIÓN JUNTAS. CIERRE DEL ACCESO. ASISTENCIA A LA PUESTA EN MARCHA. </v>
          </cell>
          <cell r="G574" t="str">
            <v>MMIM0100</v>
          </cell>
          <cell r="H574" t="str">
            <v>NUM</v>
          </cell>
          <cell r="I574">
            <v>1</v>
          </cell>
          <cell r="J574">
            <v>4.5</v>
          </cell>
          <cell r="K574">
            <v>2</v>
          </cell>
          <cell r="L574">
            <v>9</v>
          </cell>
          <cell r="M574" t="str">
            <v>NO</v>
          </cell>
          <cell r="N574">
            <v>4</v>
          </cell>
          <cell r="O574">
            <v>3</v>
          </cell>
          <cell r="P574">
            <v>3</v>
          </cell>
          <cell r="Q574">
            <v>12</v>
          </cell>
          <cell r="R574">
            <v>9</v>
          </cell>
          <cell r="S574">
            <v>9</v>
          </cell>
          <cell r="T574">
            <v>395.6961539196659</v>
          </cell>
          <cell r="U574">
            <v>395.6961539196659</v>
          </cell>
          <cell r="V574">
            <v>395.6961539196659</v>
          </cell>
          <cell r="W574">
            <v>4748.3538470359908</v>
          </cell>
          <cell r="X574">
            <v>3561.2653852769931</v>
          </cell>
          <cell r="Y574">
            <v>8309.6192323129835</v>
          </cell>
          <cell r="Z574">
            <v>3561.2653852769931</v>
          </cell>
          <cell r="AA574">
            <v>395.6961539196659</v>
          </cell>
          <cell r="AB574">
            <v>19.171538486527368</v>
          </cell>
          <cell r="AC574">
            <v>9</v>
          </cell>
          <cell r="AD574">
            <v>61.556570733693647</v>
          </cell>
          <cell r="AE574">
            <v>111.5461184568</v>
          </cell>
          <cell r="AF574">
            <v>20.738792134154398</v>
          </cell>
          <cell r="AG574">
            <v>29.31082621627155</v>
          </cell>
          <cell r="AH574" t="str">
            <v>Mecánica</v>
          </cell>
          <cell r="AI574">
            <v>395.6961539196659</v>
          </cell>
          <cell r="AJ574">
            <v>9</v>
          </cell>
          <cell r="AK574">
            <v>43.966239324407326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ECIARIO"/>
      <sheetName val="COTIZACIONES 2022"/>
      <sheetName val="COTIZACION X"/>
      <sheetName val="2022"/>
      <sheetName val="COTIZADOR"/>
      <sheetName val="Hoja2"/>
      <sheetName val="Hoja2 (2)"/>
      <sheetName val="Hoja1"/>
      <sheetName val="C ANDAMIO"/>
      <sheetName val="COTIZADOR VENTANILLA V12"/>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182AF7A-D484-4B6E-B509-DE448D6BB358}" name="TablaPMSCTSR2456" displayName="TablaPMSCTSR2456" ref="C9:AU11" totalsRowShown="0" headerRowDxfId="115" dataDxfId="113" headerRowBorderDxfId="114" tableBorderDxfId="112">
  <autoFilter ref="C9:AU11" xr:uid="{DEB4D968-C2E9-4D24-8D83-B69C78A9AEB5}"/>
  <tableColumns count="45">
    <tableColumn id="1" xr3:uid="{BCFF1444-D76D-48FE-881F-FEE050DEB24D}" name="N°OT / GRAFO" dataDxfId="111" totalsRowDxfId="110"/>
    <tableColumn id="2" xr3:uid="{7AFC2124-FD10-41A2-8DEF-95A4A9FDF6F7}" name="CENTRAL" dataDxfId="109" totalsRowDxfId="108"/>
    <tableColumn id="3" xr3:uid="{E33C6788-108B-48F0-809C-D378DBB6CCBA}" name="GRUPO" dataDxfId="107" totalsRowDxfId="106"/>
    <tableColumn id="4" xr3:uid="{6FED49D0-86EF-4143-9298-473CDB874D3C}" name="SISTEMA " dataDxfId="105" totalsRowDxfId="104"/>
    <tableColumn id="5" xr3:uid="{DFBCDC3C-CC6B-4D7E-8EAB-CD2F7567D37A}" name="SUB SISTEMA/EQUIPO" dataDxfId="103" totalsRowDxfId="102"/>
    <tableColumn id="6" xr3:uid="{6D7F2FFF-266A-4D87-BFDE-870336304080}" name="COD PM / AVISO " dataDxfId="101" totalsRowDxfId="100"/>
    <tableColumn id="40" xr3:uid="{BA159085-E6EA-42F6-A7DC-6DF4AC2F7698}" name="N° PEDIDO" dataDxfId="99" totalsRowDxfId="98"/>
    <tableColumn id="7" xr3:uid="{BE1F28D2-57AF-4897-95AB-2A74D523BDB6}" name="MOTIVO" dataDxfId="97" totalsRowDxfId="96"/>
    <tableColumn id="8" xr3:uid="{D5B93E2A-A6AF-4CCF-A21D-D49B731F8275}" name="TIPO MANT" dataDxfId="95" totalsRowDxfId="94"/>
    <tableColumn id="9" xr3:uid="{310BC5E9-32BB-43C0-90B8-5F9726B0FA3F}" name="CONDICION" dataDxfId="93" totalsRowDxfId="92"/>
    <tableColumn id="10" xr3:uid="{89148DED-99E5-4538-B5CE-992F30D0EE7B}" name="RIESGO CRITICO" dataDxfId="91" totalsRowDxfId="90"/>
    <tableColumn id="11" xr3:uid="{0610A214-282A-4828-99CA-2CB1C6A9931E}" name="AREA SOLICITANTE" dataDxfId="89" totalsRowDxfId="88"/>
    <tableColumn id="12" xr3:uid="{C372FEC7-5758-4FA6-9E63-70A72679ACD4}" name="INSPECTOR " dataDxfId="87" totalsRowDxfId="86"/>
    <tableColumn id="13" xr3:uid="{2568F72C-FFF3-414B-BDCA-6D7AE23598F7}" name="RT TERCEROS" dataDxfId="85" totalsRowDxfId="84"/>
    <tableColumn id="14" xr3:uid="{1AF2DBC1-D327-4C76-979B-899223025178}" name="Recursos" dataDxfId="83" totalsRowDxfId="82"/>
    <tableColumn id="15" xr3:uid="{79E340FD-4CD8-460B-B233-C9B43DF002C5}" name="HORA INICIO" dataDxfId="81" totalsRowDxfId="80"/>
    <tableColumn id="16" xr3:uid="{65EA724B-E0F8-4747-AF5F-7040CD3DE7C7}" name="HORA FIN" dataDxfId="79" totalsRowDxfId="78"/>
    <tableColumn id="17" xr3:uid="{B8585E6C-2CAA-4907-BEFB-0F6633382E41}" name="DIAS" dataDxfId="77" totalsRowDxfId="76"/>
    <tableColumn id="18" xr3:uid="{50AD31D3-09E1-47D4-BB90-F565B9F73ABA}" name="Inicio" dataDxfId="75" totalsRowDxfId="74"/>
    <tableColumn id="19" xr3:uid="{50C09101-E495-4039-A408-5049C26F85E1}" name="Fin" dataDxfId="73" totalsRowDxfId="72"/>
    <tableColumn id="20" xr3:uid="{D7129723-1BDD-47E2-B700-99F4994F7BD2}" name="Sábado" dataDxfId="71" totalsRowDxfId="70"/>
    <tableColumn id="21" xr3:uid="{8D274093-7F23-46DC-BA3E-9B5351A9B9F6}" name="Domingo" dataDxfId="69" totalsRowDxfId="68"/>
    <tableColumn id="22" xr3:uid="{33AEDB06-D61A-4CA3-8057-ECB4BC24672C}" name="Lunes" dataDxfId="67" totalsRowDxfId="66"/>
    <tableColumn id="23" xr3:uid="{AB202C6B-2C18-43C8-A49F-58CAE290989A}" name="Martes" dataDxfId="65" totalsRowDxfId="64"/>
    <tableColumn id="24" xr3:uid="{D461053E-53C4-4D45-9545-8A575997C40B}" name="Miércoles" dataDxfId="63" totalsRowDxfId="62"/>
    <tableColumn id="25" xr3:uid="{E82B77FB-94C0-4FA0-8204-3505471C9BFF}" name="Jueves" dataDxfId="61" totalsRowDxfId="60"/>
    <tableColumn id="26" xr3:uid="{963E4F5C-9031-4493-B3CB-94905D105AE4}" name="Viernes" dataDxfId="59" totalsRowDxfId="58"/>
    <tableColumn id="27" xr3:uid="{3BEA65C8-6658-45FE-AD29-C2C739E7914D}" name="EMPRESA" dataDxfId="57" totalsRowDxfId="56"/>
    <tableColumn id="28" xr3:uid="{91029060-49BF-48D0-9CB5-E731C6815A45}" name="CODIGO DE ACTIVIDAD" dataDxfId="55" totalsRowDxfId="54"/>
    <tableColumn id="29" xr3:uid="{CB540C1C-B866-4EA1-8513-4D8A4E7EEC86}" name="TEXTO EXPLICATIVO" dataDxfId="53" totalsRowDxfId="52"/>
    <tableColumn id="30" xr3:uid="{CC85E536-75E0-41AC-A831-36E8E6D6C9FA}" name="PRECIO DE LA ACTIVIDAD" dataDxfId="51" totalsRowDxfId="50" dataCellStyle="Moneda"/>
    <tableColumn id="31" xr3:uid="{FDB7C328-3869-4D52-BF3B-861169B8E639}" name="RIESGO" dataDxfId="49" totalsRowDxfId="48"/>
    <tableColumn id="32" xr3:uid="{E95216FA-2541-4F48-988D-1D8B19386EDB}" name="CONTROL DE SEGURIDAD" dataDxfId="47" totalsRowDxfId="46"/>
    <tableColumn id="33" xr3:uid="{82075C77-86FF-47B8-A8D8-1DD6FAC66C4B}" name="RIESGO AMBIENTAL" dataDxfId="45" totalsRowDxfId="44"/>
    <tableColumn id="34" xr3:uid="{CB72D637-2BA4-41B8-8789-498A90BDB81D}" name="CONTROLES AMBIENTALES" dataDxfId="43" totalsRowDxfId="42"/>
    <tableColumn id="42" xr3:uid="{D3A378AE-A95C-4942-B6D4-ECEA6056D5A4}" name="Control de calidad" dataDxfId="41" totalsRowDxfId="40"/>
    <tableColumn id="41" xr3:uid="{AA9FB025-F9FF-41E3-BE90-91885095E34C}" name="Criterios de evaluación" dataDxfId="39" totalsRowDxfId="38"/>
    <tableColumn id="35" xr3:uid="{2C26166A-5200-4F15-82D3-FFD71FF8056D}" name="RIESGO EXISTENTE (A REGISTRAR POR CONTRATISTA Y ORYGEN)" dataDxfId="37" totalsRowDxfId="36"/>
    <tableColumn id="36" xr3:uid="{C5C1C1BA-E8CF-4E0D-BEE9-55E880407F17}" name="RIESGO INTRODUCIDO A TERCEROS (A REGISTRAR POR EL CONTRATISTA O EJECUTOR)" dataDxfId="35" totalsRowDxfId="34"/>
    <tableColumn id="37" xr3:uid="{F6C3F683-DB4D-4420-85EA-D6C4FB427AE2}" name="MEDIDA DE CONTROL PARA RIESGO A TERCERO" dataDxfId="33" totalsRowDxfId="32"/>
    <tableColumn id="38" xr3:uid="{80B56B25-C86A-43B4-BFF9-C4ADAD68EC85}" name="OBSERVACION" dataDxfId="31" totalsRowDxfId="30"/>
    <tableColumn id="43" xr3:uid="{F26C4C23-906B-4403-949A-8DF4E6BB292E}" name="Precio de la actividad " dataDxfId="29" totalsRowDxfId="28"/>
    <tableColumn id="39" xr3:uid="{3491F431-4D0A-418E-92A3-3227D95434E7}" name="Codigo de actividad 2" dataDxfId="27" totalsRowDxfId="26"/>
    <tableColumn id="44" xr3:uid="{2AC63159-8166-409A-B064-61B1C623ABEB}" name="Cantidad " dataDxfId="25" totalsRowDxfId="24"/>
    <tableColumn id="45" xr3:uid="{7D3CEFF1-0FD7-44CE-9C05-0B6BC8ABC73C}" name="Columna1" dataDxfId="23" totalsRowDxfId="22"/>
  </tableColumns>
  <tableStyleInfo name="TableStyleLight8"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B7C88-1834-465B-90EC-37DB30EEA205}">
  <sheetPr>
    <pageSetUpPr fitToPage="1"/>
  </sheetPr>
  <dimension ref="A1:AU11"/>
  <sheetViews>
    <sheetView tabSelected="1" zoomScale="52" zoomScaleNormal="70" zoomScaleSheetLayoutView="40" workbookViewId="0">
      <pane xSplit="10" topLeftCell="AL1" activePane="topRight" state="frozen"/>
      <selection activeCell="A4" sqref="A4"/>
      <selection pane="topRight" activeCell="AL10" sqref="AL10"/>
    </sheetView>
  </sheetViews>
  <sheetFormatPr baseColWidth="10" defaultColWidth="11.44140625" defaultRowHeight="15.75" customHeight="1" x14ac:dyDescent="0.3"/>
  <cols>
    <col min="1" max="1" width="14.44140625" customWidth="1"/>
    <col min="2" max="2" width="14.5546875" style="13" customWidth="1"/>
    <col min="3" max="3" width="17.33203125" style="3" customWidth="1"/>
    <col min="4" max="4" width="14.6640625" customWidth="1"/>
    <col min="5" max="5" width="12.21875" customWidth="1"/>
    <col min="6" max="6" width="23.109375" style="3" customWidth="1"/>
    <col min="7" max="7" width="25" style="6" customWidth="1"/>
    <col min="8" max="8" width="17.109375" style="3" customWidth="1"/>
    <col min="9" max="9" width="17.5546875" style="6" customWidth="1"/>
    <col min="10" max="10" width="53.6640625" style="6" customWidth="1"/>
    <col min="11" max="11" width="14.33203125" style="3" customWidth="1"/>
    <col min="12" max="12" width="18.5546875" style="3" customWidth="1"/>
    <col min="13" max="13" width="11.5546875" style="3" customWidth="1"/>
    <col min="14" max="14" width="21.6640625" style="3" customWidth="1"/>
    <col min="15" max="16" width="17.6640625" customWidth="1"/>
    <col min="17" max="17" width="15.6640625" customWidth="1"/>
    <col min="18" max="18" width="15" customWidth="1"/>
    <col min="19" max="19" width="14.33203125" customWidth="1"/>
    <col min="20" max="20" width="10.88671875" customWidth="1"/>
    <col min="21" max="22" width="14.5546875" customWidth="1"/>
    <col min="23" max="29" width="9.88671875" customWidth="1"/>
    <col min="30" max="30" width="17.33203125" customWidth="1"/>
    <col min="31" max="31" width="31.88671875" customWidth="1"/>
    <col min="32" max="32" width="74.6640625" style="59" customWidth="1"/>
    <col min="33" max="33" width="29.6640625" customWidth="1"/>
    <col min="34" max="34" width="50.44140625" customWidth="1"/>
    <col min="35" max="35" width="91.21875" style="7" customWidth="1"/>
    <col min="36" max="36" width="26.44140625" style="7" customWidth="1"/>
    <col min="37" max="39" width="32.5546875" style="7" customWidth="1"/>
    <col min="40" max="41" width="39.33203125" style="7" customWidth="1"/>
    <col min="42" max="42" width="46.33203125" style="7" customWidth="1"/>
    <col min="43" max="43" width="82.5546875" customWidth="1"/>
    <col min="44" max="44" width="25.6640625" style="3" hidden="1" customWidth="1"/>
    <col min="45" max="45" width="21" style="3" hidden="1" customWidth="1"/>
    <col min="46" max="46" width="11.44140625" style="14" hidden="1" customWidth="1"/>
    <col min="47" max="47" width="23.33203125" hidden="1" customWidth="1"/>
    <col min="48" max="48" width="14.109375" customWidth="1"/>
  </cols>
  <sheetData>
    <row r="1" spans="1:47" ht="37.35" customHeight="1" x14ac:dyDescent="0.3">
      <c r="A1" s="1" t="s">
        <v>24</v>
      </c>
      <c r="B1" s="2"/>
      <c r="D1" s="61" t="s">
        <v>25</v>
      </c>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row>
    <row r="2" spans="1:47" ht="22.35" customHeight="1" x14ac:dyDescent="0.3">
      <c r="A2" s="5" t="s">
        <v>26</v>
      </c>
      <c r="B2" s="5"/>
      <c r="U2" s="16"/>
    </row>
    <row r="3" spans="1:47" ht="22.35" customHeight="1" x14ac:dyDescent="0.3">
      <c r="A3" s="8" t="s">
        <v>1</v>
      </c>
      <c r="B3" s="8"/>
      <c r="C3" s="61" t="s">
        <v>27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4"/>
      <c r="AM3" s="4"/>
    </row>
    <row r="4" spans="1:47" ht="14.4" x14ac:dyDescent="0.3">
      <c r="B4" s="2"/>
    </row>
    <row r="5" spans="1:47" ht="14.4" x14ac:dyDescent="0.3">
      <c r="B5" s="2"/>
      <c r="C5" s="61" t="str">
        <f>CONCATENATE("PROGRAMA SEMANAL DEL "&amp;DAY($W$8)&amp;" DE "&amp;UPPER(TEXT($W$8,"mmmm"))&amp;" AL "&amp;DAY($AC$8)&amp;" DE "&amp;UPPER(TEXT($AC$8,"mmmm"))&amp;" DEL 2026")</f>
        <v>PROGRAMA SEMANAL DEL 13 DE JUNIO AL 19 DE JUNIO DEL 2026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row>
    <row r="6" spans="1:47" ht="14.4" x14ac:dyDescent="0.3">
      <c r="B6" s="2"/>
      <c r="C6" s="61" t="str">
        <f>CONCATENATE("SEMANA N°"&amp;$B$2)</f>
        <v>SEMANA N°</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row>
    <row r="7" spans="1:47" ht="6" customHeight="1" x14ac:dyDescent="0.3">
      <c r="B7" s="2"/>
      <c r="D7" s="3"/>
      <c r="E7" s="3"/>
      <c r="O7" s="3"/>
      <c r="P7" s="3"/>
      <c r="Q7" s="3"/>
      <c r="R7" s="3"/>
      <c r="S7" s="3"/>
      <c r="T7" s="3"/>
      <c r="U7" s="3"/>
      <c r="V7" s="3"/>
      <c r="W7" s="3"/>
      <c r="X7" s="3"/>
      <c r="Y7" s="3"/>
      <c r="Z7" s="3"/>
      <c r="AA7" s="3"/>
      <c r="AB7" s="29"/>
      <c r="AC7" s="29"/>
      <c r="AD7" s="3"/>
      <c r="AE7" s="3"/>
      <c r="AF7" s="6"/>
      <c r="AG7" s="3"/>
      <c r="AH7" s="3"/>
      <c r="AI7" s="6"/>
      <c r="AJ7" s="6"/>
      <c r="AK7" s="6"/>
      <c r="AL7" s="6"/>
      <c r="AM7" s="6"/>
      <c r="AN7" s="6"/>
      <c r="AO7" s="6"/>
      <c r="AP7" s="6"/>
      <c r="AQ7" s="3"/>
    </row>
    <row r="8" spans="1:47" s="3" customFormat="1" ht="42" customHeight="1" x14ac:dyDescent="0.3">
      <c r="B8" s="9"/>
      <c r="G8" s="6"/>
      <c r="I8" s="10" t="s">
        <v>28</v>
      </c>
      <c r="J8" s="6"/>
      <c r="W8" s="45">
        <v>46186</v>
      </c>
      <c r="X8" s="46">
        <f t="shared" ref="X8:AC8" si="0">+W8+1</f>
        <v>46187</v>
      </c>
      <c r="Y8" s="47">
        <f t="shared" si="0"/>
        <v>46188</v>
      </c>
      <c r="Z8" s="47">
        <f t="shared" si="0"/>
        <v>46189</v>
      </c>
      <c r="AA8" s="47">
        <f t="shared" si="0"/>
        <v>46190</v>
      </c>
      <c r="AB8" s="11">
        <f t="shared" si="0"/>
        <v>46191</v>
      </c>
      <c r="AC8" s="11">
        <f t="shared" si="0"/>
        <v>46192</v>
      </c>
      <c r="AF8" s="6"/>
      <c r="AI8" s="6"/>
      <c r="AJ8" s="6"/>
      <c r="AK8" s="6"/>
      <c r="AL8" s="6"/>
      <c r="AM8" s="6"/>
      <c r="AN8" s="62" t="s">
        <v>29</v>
      </c>
      <c r="AO8" s="62"/>
      <c r="AP8" s="62"/>
      <c r="AQ8" s="62"/>
      <c r="AT8" s="15"/>
    </row>
    <row r="9" spans="1:47" s="26" customFormat="1" ht="65.099999999999994" customHeight="1" x14ac:dyDescent="0.3">
      <c r="B9" s="42"/>
      <c r="C9" s="48" t="s">
        <v>0</v>
      </c>
      <c r="D9" s="48" t="s">
        <v>1</v>
      </c>
      <c r="E9" s="48" t="s">
        <v>2</v>
      </c>
      <c r="F9" s="48" t="s">
        <v>3</v>
      </c>
      <c r="G9" s="49" t="s">
        <v>4</v>
      </c>
      <c r="H9" s="49" t="s">
        <v>5</v>
      </c>
      <c r="I9" s="49" t="s">
        <v>6</v>
      </c>
      <c r="J9" s="49" t="s">
        <v>7</v>
      </c>
      <c r="K9" s="48" t="s">
        <v>8</v>
      </c>
      <c r="L9" s="48" t="s">
        <v>9</v>
      </c>
      <c r="M9" s="50" t="s">
        <v>10</v>
      </c>
      <c r="N9" s="51" t="s">
        <v>11</v>
      </c>
      <c r="O9" s="48" t="s">
        <v>12</v>
      </c>
      <c r="P9" s="48" t="s">
        <v>13</v>
      </c>
      <c r="Q9" s="48" t="s">
        <v>14</v>
      </c>
      <c r="R9" s="48" t="s">
        <v>15</v>
      </c>
      <c r="S9" s="48" t="s">
        <v>16</v>
      </c>
      <c r="T9" s="52" t="s">
        <v>17</v>
      </c>
      <c r="U9" s="52" t="s">
        <v>18</v>
      </c>
      <c r="V9" s="52" t="s">
        <v>19</v>
      </c>
      <c r="W9" s="53" t="s">
        <v>30</v>
      </c>
      <c r="X9" s="54" t="s">
        <v>31</v>
      </c>
      <c r="Y9" s="55" t="s">
        <v>32</v>
      </c>
      <c r="Z9" s="55" t="s">
        <v>33</v>
      </c>
      <c r="AA9" s="55" t="s">
        <v>34</v>
      </c>
      <c r="AB9" s="12" t="s">
        <v>35</v>
      </c>
      <c r="AC9" s="12" t="s">
        <v>36</v>
      </c>
      <c r="AD9" s="34" t="s">
        <v>37</v>
      </c>
      <c r="AE9" s="35" t="s">
        <v>38</v>
      </c>
      <c r="AF9" s="35" t="s">
        <v>39</v>
      </c>
      <c r="AG9" s="35" t="s">
        <v>40</v>
      </c>
      <c r="AH9" s="36" t="s">
        <v>41</v>
      </c>
      <c r="AI9" s="37" t="s">
        <v>42</v>
      </c>
      <c r="AJ9" s="37" t="s">
        <v>43</v>
      </c>
      <c r="AK9" s="37" t="s">
        <v>44</v>
      </c>
      <c r="AL9" s="38" t="s">
        <v>45</v>
      </c>
      <c r="AM9" s="38" t="s">
        <v>46</v>
      </c>
      <c r="AN9" s="39" t="s">
        <v>47</v>
      </c>
      <c r="AO9" s="39" t="s">
        <v>48</v>
      </c>
      <c r="AP9" s="39" t="s">
        <v>49</v>
      </c>
      <c r="AQ9" s="39" t="s">
        <v>50</v>
      </c>
      <c r="AR9" s="40" t="s">
        <v>51</v>
      </c>
      <c r="AS9" s="40" t="s">
        <v>52</v>
      </c>
      <c r="AT9" s="41" t="s">
        <v>53</v>
      </c>
      <c r="AU9" s="40" t="s">
        <v>54</v>
      </c>
    </row>
    <row r="10" spans="1:47" s="26" customFormat="1" ht="65.099999999999994" customHeight="1" x14ac:dyDescent="0.3">
      <c r="B10" s="42"/>
      <c r="C10" s="20">
        <v>10003444</v>
      </c>
      <c r="D10" s="20" t="s">
        <v>66</v>
      </c>
      <c r="E10" s="27" t="s">
        <v>74</v>
      </c>
      <c r="F10" s="22" t="s">
        <v>75</v>
      </c>
      <c r="G10" s="22" t="s">
        <v>76</v>
      </c>
      <c r="H10" s="22" t="s">
        <v>23</v>
      </c>
      <c r="I10" s="30" t="s">
        <v>23</v>
      </c>
      <c r="J10" s="22" t="s">
        <v>77</v>
      </c>
      <c r="K10" s="20" t="s">
        <v>20</v>
      </c>
      <c r="L10" s="31" t="s">
        <v>22</v>
      </c>
      <c r="M10" s="32"/>
      <c r="N10" s="27" t="s">
        <v>55</v>
      </c>
      <c r="O10" s="20" t="s">
        <v>78</v>
      </c>
      <c r="P10" s="56" t="s">
        <v>79</v>
      </c>
      <c r="Q10" s="18" t="s">
        <v>80</v>
      </c>
      <c r="R10" s="57">
        <v>0.29166666666666669</v>
      </c>
      <c r="S10" s="57">
        <v>0.70833333333333337</v>
      </c>
      <c r="T10" s="18">
        <v>5</v>
      </c>
      <c r="U10" s="58">
        <v>46187</v>
      </c>
      <c r="V10" s="58">
        <v>46190</v>
      </c>
      <c r="W10" s="19">
        <v>2</v>
      </c>
      <c r="X10" s="19">
        <v>2</v>
      </c>
      <c r="Y10" s="19">
        <v>2</v>
      </c>
      <c r="Z10" s="19">
        <v>2</v>
      </c>
      <c r="AA10" s="19">
        <v>2</v>
      </c>
      <c r="AB10" s="19"/>
      <c r="AC10" s="19"/>
      <c r="AD10" s="27" t="s">
        <v>81</v>
      </c>
      <c r="AE10" s="21" t="s">
        <v>72</v>
      </c>
      <c r="AF10" s="22" t="s">
        <v>82</v>
      </c>
      <c r="AG10" s="23">
        <v>1600</v>
      </c>
      <c r="AH10" s="17" t="s">
        <v>73</v>
      </c>
      <c r="AI10" s="17" t="s">
        <v>65</v>
      </c>
      <c r="AJ10" s="60" t="s">
        <v>57</v>
      </c>
      <c r="AK10" s="60" t="s">
        <v>58</v>
      </c>
      <c r="AL10" s="60" t="s">
        <v>58</v>
      </c>
      <c r="AM10" s="17" t="s">
        <v>59</v>
      </c>
      <c r="AN10" s="17" t="s">
        <v>59</v>
      </c>
      <c r="AO10" s="17" t="s">
        <v>60</v>
      </c>
      <c r="AP10" s="17" t="s">
        <v>61</v>
      </c>
      <c r="AQ10" s="30"/>
      <c r="AR10" s="63"/>
      <c r="AS10" s="64"/>
      <c r="AT10" s="65"/>
      <c r="AU10" s="66"/>
    </row>
    <row r="11" spans="1:47" s="28" customFormat="1" ht="67.2" customHeight="1" x14ac:dyDescent="0.3">
      <c r="B11" s="42"/>
      <c r="C11" s="20">
        <v>10004235</v>
      </c>
      <c r="D11" s="20" t="s">
        <v>66</v>
      </c>
      <c r="E11" s="27" t="s">
        <v>62</v>
      </c>
      <c r="F11" s="22" t="s">
        <v>67</v>
      </c>
      <c r="G11" s="22" t="s">
        <v>68</v>
      </c>
      <c r="H11" s="22" t="s">
        <v>23</v>
      </c>
      <c r="I11" s="30" t="s">
        <v>23</v>
      </c>
      <c r="J11" s="22" t="s">
        <v>69</v>
      </c>
      <c r="K11" s="20" t="s">
        <v>20</v>
      </c>
      <c r="L11" s="31" t="s">
        <v>22</v>
      </c>
      <c r="M11" s="32" t="s">
        <v>21</v>
      </c>
      <c r="N11" s="27" t="s">
        <v>55</v>
      </c>
      <c r="O11" s="20" t="s">
        <v>70</v>
      </c>
      <c r="P11" s="56" t="s">
        <v>71</v>
      </c>
      <c r="Q11" s="18" t="s">
        <v>63</v>
      </c>
      <c r="R11" s="57">
        <v>0.29166666666666669</v>
      </c>
      <c r="S11" s="57">
        <v>0.70833333333333337</v>
      </c>
      <c r="T11" s="18">
        <v>3</v>
      </c>
      <c r="U11" s="58">
        <v>46189</v>
      </c>
      <c r="V11" s="58">
        <v>46191</v>
      </c>
      <c r="W11" s="19"/>
      <c r="X11" s="19"/>
      <c r="Y11" s="19"/>
      <c r="Z11" s="19">
        <v>2</v>
      </c>
      <c r="AA11" s="19">
        <v>2</v>
      </c>
      <c r="AB11" s="19">
        <v>2</v>
      </c>
      <c r="AC11" s="19"/>
      <c r="AD11" s="27" t="s">
        <v>56</v>
      </c>
      <c r="AE11" s="21" t="s">
        <v>72</v>
      </c>
      <c r="AF11" s="22" t="s">
        <v>64</v>
      </c>
      <c r="AG11" s="23">
        <v>804.32356018291</v>
      </c>
      <c r="AH11" s="17" t="s">
        <v>73</v>
      </c>
      <c r="AI11" s="17" t="s">
        <v>65</v>
      </c>
      <c r="AJ11" s="60" t="s">
        <v>57</v>
      </c>
      <c r="AK11" s="60" t="s">
        <v>58</v>
      </c>
      <c r="AL11" s="24"/>
      <c r="AM11" s="25"/>
      <c r="AN11" s="17" t="s">
        <v>59</v>
      </c>
      <c r="AO11" s="17" t="s">
        <v>60</v>
      </c>
      <c r="AP11" s="17" t="s">
        <v>61</v>
      </c>
      <c r="AQ11" s="30"/>
      <c r="AR11" s="33"/>
      <c r="AS11" s="33"/>
      <c r="AT11" s="44"/>
      <c r="AU11" s="43"/>
    </row>
  </sheetData>
  <mergeCells count="5">
    <mergeCell ref="D1:AQ1"/>
    <mergeCell ref="C3:AK3"/>
    <mergeCell ref="C5:AQ5"/>
    <mergeCell ref="C6:AQ6"/>
    <mergeCell ref="AN8:AQ8"/>
  </mergeCells>
  <phoneticPr fontId="14" type="noConversion"/>
  <conditionalFormatting sqref="E10:H11 J10:J11 AF10:AF11">
    <cfRule type="expression" dxfId="21" priority="280">
      <formula>$N10="X"</formula>
    </cfRule>
  </conditionalFormatting>
  <conditionalFormatting sqref="I10:I11 L10:M11 AL11:AM11 AQ10:AR11">
    <cfRule type="expression" dxfId="20" priority="558">
      <formula>$M10="X"</formula>
    </cfRule>
  </conditionalFormatting>
  <conditionalFormatting sqref="O10:O11">
    <cfRule type="expression" dxfId="19" priority="14">
      <formula>$P10="X"</formula>
    </cfRule>
  </conditionalFormatting>
  <conditionalFormatting sqref="R10:S11">
    <cfRule type="expression" dxfId="18" priority="21">
      <formula>$Q10="x"</formula>
    </cfRule>
  </conditionalFormatting>
  <conditionalFormatting sqref="W10:AC11">
    <cfRule type="cellIs" dxfId="16" priority="179" operator="greaterThan">
      <formula>0</formula>
    </cfRule>
    <cfRule type="cellIs" dxfId="15" priority="180" operator="greaterThan">
      <formula>0</formula>
    </cfRule>
    <cfRule type="expression" dxfId="14" priority="181">
      <formula>W10=0</formula>
    </cfRule>
    <cfRule type="containsBlanks" priority="182" stopIfTrue="1">
      <formula>LEN(TRIM(W10))=0</formula>
    </cfRule>
  </conditionalFormatting>
  <conditionalFormatting sqref="AG10:AG11 AJ10:AK11 AN10:AP11">
    <cfRule type="expression" dxfId="13" priority="12">
      <formula>#REF!="x"</formula>
    </cfRule>
  </conditionalFormatting>
  <conditionalFormatting sqref="AH10:AI11">
    <cfRule type="expression" dxfId="12" priority="23">
      <formula>#REF!="x"</formula>
    </cfRule>
  </conditionalFormatting>
  <conditionalFormatting sqref="AL10">
    <cfRule type="expression" dxfId="1" priority="2">
      <formula>#REF!="x"</formula>
    </cfRule>
  </conditionalFormatting>
  <conditionalFormatting sqref="AM10">
    <cfRule type="expression" dxfId="0" priority="1">
      <formula>#REF!="x"</formula>
    </cfRule>
  </conditionalFormatting>
  <dataValidations count="1">
    <dataValidation type="time" allowBlank="1" showInputMessage="1" showErrorMessage="1" sqref="R10:S11" xr:uid="{F0334802-C564-424D-A774-D2B76EB9D6F6}">
      <formula1>0</formula1>
      <formula2>0.999305555555556</formula2>
    </dataValidation>
  </dataValidations>
  <pageMargins left="0.7" right="0.7" top="0.75" bottom="0.75" header="0.3" footer="0.3"/>
  <pageSetup paperSize="9" scale="15" fitToHeight="0" orientation="landscape" r:id="rId1"/>
  <headerFooter>
    <oddHeader>&amp;C&amp;"Arial"&amp;8&amp;K000000INTERNAL&amp;1#</oddHead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78" operator="containsText" id="{864E31B7-431B-404D-879E-ECD8C91828D4}">
            <xm:f>NOT(ISERROR(SEARCH(0,W10)))</xm:f>
            <xm:f>0</xm:f>
            <x14:dxf>
              <font>
                <b/>
                <i val="0"/>
                <color theme="0"/>
              </font>
              <fill>
                <patternFill patternType="solid">
                  <fgColor auto="1"/>
                  <bgColor theme="3"/>
                </patternFill>
              </fill>
            </x14:dxf>
          </x14:cfRule>
          <xm:sqref>W10:AC11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SANTA ROSA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Valdiviezo Cornejo</dc:creator>
  <cp:keywords/>
  <dc:description/>
  <cp:lastModifiedBy>Castillo Farfán, Manuel Humberto, ORYGEN</cp:lastModifiedBy>
  <cp:revision/>
  <cp:lastPrinted>2026-04-28T18:55:33Z</cp:lastPrinted>
  <dcterms:created xsi:type="dcterms:W3CDTF">2026-01-12T22:02:44Z</dcterms:created>
  <dcterms:modified xsi:type="dcterms:W3CDTF">2026-06-18T02:53:21Z</dcterms:modified>
  <cp:category/>
  <cp:contentStatus/>
</cp:coreProperties>
</file>